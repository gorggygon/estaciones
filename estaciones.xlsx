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yectos\contraloria_2026_419est\"/>
    </mc:Choice>
  </mc:AlternateContent>
  <xr:revisionPtr revIDLastSave="0" documentId="13_ncr:2001_{88A5BAE0-A7E1-46B0-830E-A393ED4C3640}" xr6:coauthVersionLast="47" xr6:coauthVersionMax="47" xr10:uidLastSave="{00000000-0000-0000-0000-000000000000}"/>
  <bookViews>
    <workbookView xWindow="-120" yWindow="-120" windowWidth="29040" windowHeight="15720" activeTab="2" xr2:uid="{2F153CC5-8CFD-4471-A4E1-D487BE69B921}"/>
  </bookViews>
  <sheets>
    <sheet name="Hoja1" sheetId="1" r:id="rId1"/>
    <sheet name="Hoja2" sheetId="2" r:id="rId2"/>
    <sheet name="ajus" sheetId="4" r:id="rId3"/>
    <sheet name="Hoja5" sheetId="5" r:id="rId4"/>
    <sheet name="polaris" sheetId="3" r:id="rId5"/>
  </sheets>
  <definedNames>
    <definedName name="_xlnm._FilterDatabase" localSheetId="2" hidden="1">ajus!$A$1:$J$420</definedName>
    <definedName name="_xlnm._FilterDatabase" localSheetId="0" hidden="1">Hoja1!$E$2:$E$420</definedName>
    <definedName name="_xlnm._FilterDatabase" localSheetId="4" hidden="1">polaris!$A$1:$I$785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 a="1"/>
  <c r="G3" i="4" s="1"/>
  <c r="G4" i="4" a="1"/>
  <c r="G4" i="4" s="1"/>
  <c r="G5" i="4" a="1"/>
  <c r="G5" i="4" s="1"/>
  <c r="G6" i="4" a="1"/>
  <c r="G6" i="4" s="1"/>
  <c r="G7" i="4" a="1"/>
  <c r="G7" i="4" s="1"/>
  <c r="G8" i="4" a="1"/>
  <c r="G8" i="4" s="1"/>
  <c r="G9" i="4" a="1"/>
  <c r="G9" i="4" s="1"/>
  <c r="G10" i="4" a="1"/>
  <c r="G10" i="4" s="1"/>
  <c r="G11" i="4" a="1"/>
  <c r="G11" i="4" s="1"/>
  <c r="G12" i="4" a="1"/>
  <c r="G12" i="4" s="1"/>
  <c r="G13" i="4" a="1"/>
  <c r="G13" i="4" s="1"/>
  <c r="G14" i="4" a="1"/>
  <c r="G14" i="4" s="1"/>
  <c r="G15" i="4" a="1"/>
  <c r="G15" i="4" s="1"/>
  <c r="G16" i="4" a="1"/>
  <c r="G16" i="4" s="1"/>
  <c r="G17" i="4" a="1"/>
  <c r="G17" i="4" s="1"/>
  <c r="G18" i="4" a="1"/>
  <c r="G18" i="4" s="1"/>
  <c r="G19" i="4" a="1"/>
  <c r="G19" i="4" s="1"/>
  <c r="G20" i="4" a="1"/>
  <c r="G20" i="4" s="1"/>
  <c r="G21" i="4" a="1"/>
  <c r="G21" i="4" s="1"/>
  <c r="G22" i="4" a="1"/>
  <c r="G22" i="4" s="1"/>
  <c r="G23" i="4" a="1"/>
  <c r="G23" i="4" s="1"/>
  <c r="G24" i="4" a="1"/>
  <c r="G24" i="4" s="1"/>
  <c r="G25" i="4" a="1"/>
  <c r="G25" i="4" s="1"/>
  <c r="G26" i="4" a="1"/>
  <c r="G26" i="4" s="1"/>
  <c r="G27" i="4" a="1"/>
  <c r="G27" i="4" s="1"/>
  <c r="G28" i="4" a="1"/>
  <c r="G28" i="4" s="1"/>
  <c r="G29" i="4" a="1"/>
  <c r="G29" i="4" s="1"/>
  <c r="G30" i="4" a="1"/>
  <c r="G30" i="4" s="1"/>
  <c r="G31" i="4" a="1"/>
  <c r="G31" i="4" s="1"/>
  <c r="G32" i="4" a="1"/>
  <c r="G32" i="4" s="1"/>
  <c r="G33" i="4" a="1"/>
  <c r="G33" i="4" s="1"/>
  <c r="G34" i="4" a="1"/>
  <c r="G34" i="4" s="1"/>
  <c r="G35" i="4" a="1"/>
  <c r="G35" i="4" s="1"/>
  <c r="G36" i="4" a="1"/>
  <c r="G36" i="4" s="1"/>
  <c r="G37" i="4" a="1"/>
  <c r="G37" i="4" s="1"/>
  <c r="G38" i="4" a="1"/>
  <c r="G38" i="4" s="1"/>
  <c r="G39" i="4" a="1"/>
  <c r="G39" i="4" s="1"/>
  <c r="G40" i="4" a="1"/>
  <c r="G40" i="4" s="1"/>
  <c r="G41" i="4" a="1"/>
  <c r="G41" i="4" s="1"/>
  <c r="G42" i="4" a="1"/>
  <c r="G42" i="4" s="1"/>
  <c r="G43" i="4" a="1"/>
  <c r="G43" i="4" s="1"/>
  <c r="G44" i="4" a="1"/>
  <c r="G44" i="4" s="1"/>
  <c r="G45" i="4" a="1"/>
  <c r="G45" i="4" s="1"/>
  <c r="G46" i="4" a="1"/>
  <c r="G46" i="4" s="1"/>
  <c r="G47" i="4" a="1"/>
  <c r="G47" i="4" s="1"/>
  <c r="G48" i="4" a="1"/>
  <c r="G48" i="4" s="1"/>
  <c r="G49" i="4" a="1"/>
  <c r="G49" i="4" s="1"/>
  <c r="G50" i="4" a="1"/>
  <c r="G50" i="4" s="1"/>
  <c r="G51" i="4" a="1"/>
  <c r="G51" i="4" s="1"/>
  <c r="G52" i="4" a="1"/>
  <c r="G52" i="4" s="1"/>
  <c r="G53" i="4" a="1"/>
  <c r="G53" i="4" s="1"/>
  <c r="G54" i="4" a="1"/>
  <c r="G54" i="4" s="1"/>
  <c r="G55" i="4" a="1"/>
  <c r="G55" i="4" s="1"/>
  <c r="G56" i="4" a="1"/>
  <c r="G56" i="4" s="1"/>
  <c r="G57" i="4" a="1"/>
  <c r="G57" i="4" s="1"/>
  <c r="G58" i="4" a="1"/>
  <c r="G58" i="4" s="1"/>
  <c r="G59" i="4" a="1"/>
  <c r="G59" i="4" s="1"/>
  <c r="G60" i="4" a="1"/>
  <c r="G60" i="4" s="1"/>
  <c r="G61" i="4" a="1"/>
  <c r="G61" i="4" s="1"/>
  <c r="G62" i="4" a="1"/>
  <c r="G62" i="4" s="1"/>
  <c r="G63" i="4" a="1"/>
  <c r="G63" i="4" s="1"/>
  <c r="G64" i="4" a="1"/>
  <c r="G64" i="4" s="1"/>
  <c r="G65" i="4" a="1"/>
  <c r="G65" i="4" s="1"/>
  <c r="G66" i="4" a="1"/>
  <c r="G66" i="4" s="1"/>
  <c r="G67" i="4" a="1"/>
  <c r="G67" i="4" s="1"/>
  <c r="G68" i="4" a="1"/>
  <c r="G68" i="4" s="1"/>
  <c r="G69" i="4" a="1"/>
  <c r="G69" i="4" s="1"/>
  <c r="G70" i="4" a="1"/>
  <c r="G70" i="4" s="1"/>
  <c r="G71" i="4" a="1"/>
  <c r="G71" i="4" s="1"/>
  <c r="G72" i="4" a="1"/>
  <c r="G72" i="4" s="1"/>
  <c r="G73" i="4" a="1"/>
  <c r="G73" i="4" s="1"/>
  <c r="G74" i="4" a="1"/>
  <c r="G74" i="4" s="1"/>
  <c r="G75" i="4" a="1"/>
  <c r="G75" i="4" s="1"/>
  <c r="G76" i="4" a="1"/>
  <c r="G76" i="4" s="1"/>
  <c r="G77" i="4" a="1"/>
  <c r="G77" i="4" s="1"/>
  <c r="G78" i="4" a="1"/>
  <c r="G78" i="4" s="1"/>
  <c r="G79" i="4" a="1"/>
  <c r="G79" i="4" s="1"/>
  <c r="G80" i="4" a="1"/>
  <c r="G80" i="4" s="1"/>
  <c r="G81" i="4" a="1"/>
  <c r="G81" i="4" s="1"/>
  <c r="G82" i="4" a="1"/>
  <c r="G82" i="4" s="1"/>
  <c r="G83" i="4" a="1"/>
  <c r="G83" i="4" s="1"/>
  <c r="G84" i="4" a="1"/>
  <c r="G84" i="4" s="1"/>
  <c r="G85" i="4" a="1"/>
  <c r="G85" i="4" s="1"/>
  <c r="G86" i="4" a="1"/>
  <c r="G86" i="4" s="1"/>
  <c r="G87" i="4" a="1"/>
  <c r="G87" i="4" s="1"/>
  <c r="G88" i="4" a="1"/>
  <c r="G88" i="4" s="1"/>
  <c r="G89" i="4" a="1"/>
  <c r="G89" i="4" s="1"/>
  <c r="G90" i="4" a="1"/>
  <c r="G90" i="4" s="1"/>
  <c r="G91" i="4" a="1"/>
  <c r="G91" i="4" s="1"/>
  <c r="G92" i="4" a="1"/>
  <c r="G92" i="4" s="1"/>
  <c r="G93" i="4" a="1"/>
  <c r="G93" i="4" s="1"/>
  <c r="G94" i="4" a="1"/>
  <c r="G94" i="4" s="1"/>
  <c r="G95" i="4" a="1"/>
  <c r="G95" i="4" s="1"/>
  <c r="G96" i="4" a="1"/>
  <c r="G96" i="4" s="1"/>
  <c r="G97" i="4" a="1"/>
  <c r="G97" i="4" s="1"/>
  <c r="G98" i="4" a="1"/>
  <c r="G98" i="4" s="1"/>
  <c r="G99" i="4" a="1"/>
  <c r="G99" i="4" s="1"/>
  <c r="G100" i="4" a="1"/>
  <c r="G100" i="4" s="1"/>
  <c r="G101" i="4" a="1"/>
  <c r="G101" i="4" s="1"/>
  <c r="G102" i="4" a="1"/>
  <c r="G102" i="4" s="1"/>
  <c r="G103" i="4" a="1"/>
  <c r="G103" i="4" s="1"/>
  <c r="G104" i="4" a="1"/>
  <c r="G104" i="4" s="1"/>
  <c r="G105" i="4" a="1"/>
  <c r="G105" i="4" s="1"/>
  <c r="G106" i="4" a="1"/>
  <c r="G106" i="4" s="1"/>
  <c r="G107" i="4" a="1"/>
  <c r="G107" i="4" s="1"/>
  <c r="G108" i="4" a="1"/>
  <c r="G108" i="4" s="1"/>
  <c r="G109" i="4" a="1"/>
  <c r="G109" i="4" s="1"/>
  <c r="G110" i="4" a="1"/>
  <c r="G110" i="4" s="1"/>
  <c r="G111" i="4" a="1"/>
  <c r="G111" i="4" s="1"/>
  <c r="G112" i="4" a="1"/>
  <c r="G112" i="4" s="1"/>
  <c r="G113" i="4" a="1"/>
  <c r="G113" i="4" s="1"/>
  <c r="G114" i="4" a="1"/>
  <c r="G114" i="4" s="1"/>
  <c r="G115" i="4" a="1"/>
  <c r="G115" i="4" s="1"/>
  <c r="G116" i="4" a="1"/>
  <c r="G116" i="4" s="1"/>
  <c r="G117" i="4" a="1"/>
  <c r="G117" i="4" s="1"/>
  <c r="G118" i="4" a="1"/>
  <c r="G118" i="4" s="1"/>
  <c r="G119" i="4" a="1"/>
  <c r="G119" i="4" s="1"/>
  <c r="G120" i="4" a="1"/>
  <c r="G120" i="4" s="1"/>
  <c r="G121" i="4" a="1"/>
  <c r="G121" i="4" s="1"/>
  <c r="G122" i="4" a="1"/>
  <c r="G122" i="4" s="1"/>
  <c r="G123" i="4" a="1"/>
  <c r="G123" i="4" s="1"/>
  <c r="G124" i="4" a="1"/>
  <c r="G124" i="4" s="1"/>
  <c r="G125" i="4" a="1"/>
  <c r="G125" i="4" s="1"/>
  <c r="G126" i="4" a="1"/>
  <c r="G126" i="4" s="1"/>
  <c r="G127" i="4" a="1"/>
  <c r="G127" i="4" s="1"/>
  <c r="G128" i="4" a="1"/>
  <c r="G128" i="4" s="1"/>
  <c r="G129" i="4" a="1"/>
  <c r="G129" i="4" s="1"/>
  <c r="G130" i="4" a="1"/>
  <c r="G130" i="4" s="1"/>
  <c r="G131" i="4" a="1"/>
  <c r="G131" i="4" s="1"/>
  <c r="G132" i="4" a="1"/>
  <c r="G132" i="4" s="1"/>
  <c r="G133" i="4" a="1"/>
  <c r="G133" i="4" s="1"/>
  <c r="G134" i="4" a="1"/>
  <c r="G134" i="4" s="1"/>
  <c r="G135" i="4" a="1"/>
  <c r="G135" i="4" s="1"/>
  <c r="G136" i="4" a="1"/>
  <c r="G136" i="4" s="1"/>
  <c r="G137" i="4" a="1"/>
  <c r="G137" i="4" s="1"/>
  <c r="G138" i="4" a="1"/>
  <c r="G138" i="4" s="1"/>
  <c r="G139" i="4" a="1"/>
  <c r="G139" i="4" s="1"/>
  <c r="G140" i="4" a="1"/>
  <c r="G140" i="4" s="1"/>
  <c r="G141" i="4" a="1"/>
  <c r="G141" i="4" s="1"/>
  <c r="G142" i="4" a="1"/>
  <c r="G142" i="4" s="1"/>
  <c r="G143" i="4" a="1"/>
  <c r="G143" i="4" s="1"/>
  <c r="G144" i="4" a="1"/>
  <c r="G144" i="4" s="1"/>
  <c r="G145" i="4" a="1"/>
  <c r="G145" i="4" s="1"/>
  <c r="G146" i="4" a="1"/>
  <c r="G146" i="4" s="1"/>
  <c r="G147" i="4" a="1"/>
  <c r="G147" i="4" s="1"/>
  <c r="G148" i="4" a="1"/>
  <c r="G148" i="4" s="1"/>
  <c r="G149" i="4" a="1"/>
  <c r="G149" i="4" s="1"/>
  <c r="G150" i="4" a="1"/>
  <c r="G150" i="4" s="1"/>
  <c r="G151" i="4" a="1"/>
  <c r="G151" i="4" s="1"/>
  <c r="G152" i="4" a="1"/>
  <c r="G152" i="4" s="1"/>
  <c r="G153" i="4" a="1"/>
  <c r="G153" i="4" s="1"/>
  <c r="G154" i="4" a="1"/>
  <c r="G154" i="4" s="1"/>
  <c r="G155" i="4" a="1"/>
  <c r="G155" i="4" s="1"/>
  <c r="G156" i="4" a="1"/>
  <c r="G156" i="4" s="1"/>
  <c r="G157" i="4" a="1"/>
  <c r="G157" i="4" s="1"/>
  <c r="G158" i="4" a="1"/>
  <c r="G158" i="4" s="1"/>
  <c r="G159" i="4" a="1"/>
  <c r="G159" i="4" s="1"/>
  <c r="G160" i="4" a="1"/>
  <c r="G160" i="4" s="1"/>
  <c r="G161" i="4" a="1"/>
  <c r="G161" i="4" s="1"/>
  <c r="G162" i="4" a="1"/>
  <c r="G162" i="4" s="1"/>
  <c r="G163" i="4" a="1"/>
  <c r="G163" i="4" s="1"/>
  <c r="G164" i="4" a="1"/>
  <c r="G164" i="4" s="1"/>
  <c r="G165" i="4" a="1"/>
  <c r="G165" i="4" s="1"/>
  <c r="G166" i="4" a="1"/>
  <c r="G166" i="4" s="1"/>
  <c r="G167" i="4" a="1"/>
  <c r="G167" i="4" s="1"/>
  <c r="G168" i="4" a="1"/>
  <c r="G168" i="4" s="1"/>
  <c r="G169" i="4" a="1"/>
  <c r="G169" i="4" s="1"/>
  <c r="G170" i="4" a="1"/>
  <c r="G170" i="4" s="1"/>
  <c r="G171" i="4" a="1"/>
  <c r="G171" i="4" s="1"/>
  <c r="G172" i="4" a="1"/>
  <c r="G172" i="4" s="1"/>
  <c r="G173" i="4" a="1"/>
  <c r="G173" i="4" s="1"/>
  <c r="G174" i="4" a="1"/>
  <c r="G174" i="4" s="1"/>
  <c r="G175" i="4" a="1"/>
  <c r="G175" i="4" s="1"/>
  <c r="G176" i="4" a="1"/>
  <c r="G176" i="4" s="1"/>
  <c r="G177" i="4" a="1"/>
  <c r="G177" i="4" s="1"/>
  <c r="G178" i="4" a="1"/>
  <c r="G178" i="4" s="1"/>
  <c r="G179" i="4" a="1"/>
  <c r="G179" i="4" s="1"/>
  <c r="G180" i="4" a="1"/>
  <c r="G180" i="4" s="1"/>
  <c r="G181" i="4" a="1"/>
  <c r="G181" i="4" s="1"/>
  <c r="G182" i="4" a="1"/>
  <c r="G182" i="4" s="1"/>
  <c r="G183" i="4" a="1"/>
  <c r="G183" i="4" s="1"/>
  <c r="G184" i="4" a="1"/>
  <c r="G184" i="4" s="1"/>
  <c r="G185" i="4" a="1"/>
  <c r="G185" i="4" s="1"/>
  <c r="G186" i="4" a="1"/>
  <c r="G186" i="4" s="1"/>
  <c r="G187" i="4" a="1"/>
  <c r="G187" i="4" s="1"/>
  <c r="G188" i="4" a="1"/>
  <c r="G188" i="4" s="1"/>
  <c r="G189" i="4" a="1"/>
  <c r="G189" i="4" s="1"/>
  <c r="G190" i="4" a="1"/>
  <c r="G190" i="4" s="1"/>
  <c r="G191" i="4" a="1"/>
  <c r="G191" i="4" s="1"/>
  <c r="G192" i="4" a="1"/>
  <c r="G192" i="4" s="1"/>
  <c r="G193" i="4" a="1"/>
  <c r="G193" i="4" s="1"/>
  <c r="G194" i="4" a="1"/>
  <c r="G194" i="4" s="1"/>
  <c r="G195" i="4" a="1"/>
  <c r="G195" i="4" s="1"/>
  <c r="G196" i="4" a="1"/>
  <c r="G196" i="4" s="1"/>
  <c r="G197" i="4" a="1"/>
  <c r="G197" i="4" s="1"/>
  <c r="G198" i="4" a="1"/>
  <c r="G198" i="4" s="1"/>
  <c r="G199" i="4" a="1"/>
  <c r="G199" i="4" s="1"/>
  <c r="G200" i="4" a="1"/>
  <c r="G200" i="4" s="1"/>
  <c r="G201" i="4" a="1"/>
  <c r="G201" i="4" s="1"/>
  <c r="G202" i="4" a="1"/>
  <c r="G202" i="4" s="1"/>
  <c r="G203" i="4" a="1"/>
  <c r="G203" i="4" s="1"/>
  <c r="G204" i="4" a="1"/>
  <c r="G204" i="4" s="1"/>
  <c r="G205" i="4" a="1"/>
  <c r="G205" i="4" s="1"/>
  <c r="G206" i="4" a="1"/>
  <c r="G206" i="4" s="1"/>
  <c r="G207" i="4" a="1"/>
  <c r="G207" i="4" s="1"/>
  <c r="G208" i="4" a="1"/>
  <c r="G208" i="4" s="1"/>
  <c r="G209" i="4" a="1"/>
  <c r="G209" i="4" s="1"/>
  <c r="G210" i="4" a="1"/>
  <c r="G210" i="4" s="1"/>
  <c r="G211" i="4" a="1"/>
  <c r="G211" i="4" s="1"/>
  <c r="G212" i="4" a="1"/>
  <c r="G212" i="4" s="1"/>
  <c r="G213" i="4" a="1"/>
  <c r="G213" i="4" s="1"/>
  <c r="G214" i="4" a="1"/>
  <c r="G214" i="4" s="1"/>
  <c r="G215" i="4" a="1"/>
  <c r="G215" i="4" s="1"/>
  <c r="G216" i="4" a="1"/>
  <c r="G216" i="4" s="1"/>
  <c r="G217" i="4" a="1"/>
  <c r="G217" i="4" s="1"/>
  <c r="G218" i="4" a="1"/>
  <c r="G218" i="4" s="1"/>
  <c r="G219" i="4" a="1"/>
  <c r="G219" i="4" s="1"/>
  <c r="G220" i="4" a="1"/>
  <c r="G220" i="4" s="1"/>
  <c r="G221" i="4" a="1"/>
  <c r="G221" i="4" s="1"/>
  <c r="G222" i="4" a="1"/>
  <c r="G222" i="4" s="1"/>
  <c r="G223" i="4" a="1"/>
  <c r="G223" i="4" s="1"/>
  <c r="G224" i="4" a="1"/>
  <c r="G224" i="4" s="1"/>
  <c r="G225" i="4" a="1"/>
  <c r="G225" i="4" s="1"/>
  <c r="G226" i="4" a="1"/>
  <c r="G226" i="4" s="1"/>
  <c r="G227" i="4" a="1"/>
  <c r="G227" i="4" s="1"/>
  <c r="G228" i="4" a="1"/>
  <c r="G228" i="4" s="1"/>
  <c r="G229" i="4" a="1"/>
  <c r="G229" i="4" s="1"/>
  <c r="G230" i="4" a="1"/>
  <c r="G230" i="4" s="1"/>
  <c r="G231" i="4" a="1"/>
  <c r="G231" i="4" s="1"/>
  <c r="G232" i="4" a="1"/>
  <c r="G232" i="4" s="1"/>
  <c r="G233" i="4" a="1"/>
  <c r="G233" i="4" s="1"/>
  <c r="G234" i="4" a="1"/>
  <c r="G234" i="4" s="1"/>
  <c r="G235" i="4" a="1"/>
  <c r="G235" i="4" s="1"/>
  <c r="G236" i="4" a="1"/>
  <c r="G236" i="4" s="1"/>
  <c r="G237" i="4" a="1"/>
  <c r="G237" i="4" s="1"/>
  <c r="G238" i="4" a="1"/>
  <c r="G238" i="4" s="1"/>
  <c r="G239" i="4" a="1"/>
  <c r="G239" i="4" s="1"/>
  <c r="G240" i="4" a="1"/>
  <c r="G240" i="4" s="1"/>
  <c r="G241" i="4" a="1"/>
  <c r="G241" i="4" s="1"/>
  <c r="G242" i="4" a="1"/>
  <c r="G242" i="4" s="1"/>
  <c r="G243" i="4" a="1"/>
  <c r="G243" i="4" s="1"/>
  <c r="G244" i="4" a="1"/>
  <c r="G244" i="4" s="1"/>
  <c r="G245" i="4" a="1"/>
  <c r="G245" i="4" s="1"/>
  <c r="G246" i="4" a="1"/>
  <c r="G246" i="4" s="1"/>
  <c r="G247" i="4" a="1"/>
  <c r="G247" i="4" s="1"/>
  <c r="G248" i="4" a="1"/>
  <c r="G248" i="4" s="1"/>
  <c r="G249" i="4" a="1"/>
  <c r="G249" i="4" s="1"/>
  <c r="G250" i="4" a="1"/>
  <c r="G250" i="4" s="1"/>
  <c r="G251" i="4" a="1"/>
  <c r="G251" i="4" s="1"/>
  <c r="G252" i="4" a="1"/>
  <c r="G252" i="4" s="1"/>
  <c r="G253" i="4" a="1"/>
  <c r="G253" i="4" s="1"/>
  <c r="G254" i="4" a="1"/>
  <c r="G254" i="4" s="1"/>
  <c r="G255" i="4" a="1"/>
  <c r="G255" i="4" s="1"/>
  <c r="G256" i="4" a="1"/>
  <c r="G256" i="4" s="1"/>
  <c r="G257" i="4" a="1"/>
  <c r="G257" i="4" s="1"/>
  <c r="G258" i="4" a="1"/>
  <c r="G258" i="4" s="1"/>
  <c r="G259" i="4" a="1"/>
  <c r="G259" i="4" s="1"/>
  <c r="G260" i="4" a="1"/>
  <c r="G260" i="4" s="1"/>
  <c r="G261" i="4" a="1"/>
  <c r="G261" i="4" s="1"/>
  <c r="G262" i="4" a="1"/>
  <c r="G262" i="4" s="1"/>
  <c r="G263" i="4" a="1"/>
  <c r="G263" i="4" s="1"/>
  <c r="G264" i="4" a="1"/>
  <c r="G264" i="4" s="1"/>
  <c r="G265" i="4" a="1"/>
  <c r="G265" i="4" s="1"/>
  <c r="G266" i="4" a="1"/>
  <c r="G266" i="4" s="1"/>
  <c r="G267" i="4" a="1"/>
  <c r="G267" i="4" s="1"/>
  <c r="G268" i="4" a="1"/>
  <c r="G268" i="4" s="1"/>
  <c r="G269" i="4" a="1"/>
  <c r="G269" i="4" s="1"/>
  <c r="G270" i="4" a="1"/>
  <c r="G270" i="4" s="1"/>
  <c r="G271" i="4" a="1"/>
  <c r="G271" i="4" s="1"/>
  <c r="G272" i="4" a="1"/>
  <c r="G272" i="4" s="1"/>
  <c r="G273" i="4" a="1"/>
  <c r="G273" i="4" s="1"/>
  <c r="G274" i="4" a="1"/>
  <c r="G274" i="4" s="1"/>
  <c r="G275" i="4" a="1"/>
  <c r="G275" i="4" s="1"/>
  <c r="G276" i="4" a="1"/>
  <c r="G276" i="4" s="1"/>
  <c r="G277" i="4" a="1"/>
  <c r="G277" i="4" s="1"/>
  <c r="G278" i="4" a="1"/>
  <c r="G278" i="4" s="1"/>
  <c r="G279" i="4" a="1"/>
  <c r="G279" i="4" s="1"/>
  <c r="G280" i="4" a="1"/>
  <c r="G280" i="4" s="1"/>
  <c r="G281" i="4" a="1"/>
  <c r="G281" i="4" s="1"/>
  <c r="G282" i="4" a="1"/>
  <c r="G282" i="4" s="1"/>
  <c r="G283" i="4" a="1"/>
  <c r="G283" i="4" s="1"/>
  <c r="G284" i="4" a="1"/>
  <c r="G284" i="4" s="1"/>
  <c r="G285" i="4" a="1"/>
  <c r="G285" i="4" s="1"/>
  <c r="G286" i="4" a="1"/>
  <c r="G286" i="4" s="1"/>
  <c r="G287" i="4" a="1"/>
  <c r="G287" i="4" s="1"/>
  <c r="G288" i="4" a="1"/>
  <c r="G288" i="4" s="1"/>
  <c r="G289" i="4" a="1"/>
  <c r="G289" i="4" s="1"/>
  <c r="G290" i="4" a="1"/>
  <c r="G290" i="4" s="1"/>
  <c r="G291" i="4" a="1"/>
  <c r="G291" i="4" s="1"/>
  <c r="G292" i="4" a="1"/>
  <c r="G292" i="4" s="1"/>
  <c r="G293" i="4" a="1"/>
  <c r="G293" i="4" s="1"/>
  <c r="G294" i="4" a="1"/>
  <c r="G294" i="4" s="1"/>
  <c r="G295" i="4" a="1"/>
  <c r="G295" i="4" s="1"/>
  <c r="G296" i="4" a="1"/>
  <c r="G296" i="4" s="1"/>
  <c r="G297" i="4" a="1"/>
  <c r="G297" i="4" s="1"/>
  <c r="G298" i="4" a="1"/>
  <c r="G298" i="4" s="1"/>
  <c r="G299" i="4" a="1"/>
  <c r="G299" i="4" s="1"/>
  <c r="G300" i="4" a="1"/>
  <c r="G300" i="4" s="1"/>
  <c r="G301" i="4" a="1"/>
  <c r="G301" i="4" s="1"/>
  <c r="G302" i="4" a="1"/>
  <c r="G302" i="4" s="1"/>
  <c r="G303" i="4" a="1"/>
  <c r="G303" i="4" s="1"/>
  <c r="G304" i="4" a="1"/>
  <c r="G304" i="4" s="1"/>
  <c r="G305" i="4" a="1"/>
  <c r="G305" i="4" s="1"/>
  <c r="G306" i="4" a="1"/>
  <c r="G306" i="4" s="1"/>
  <c r="G307" i="4" a="1"/>
  <c r="G307" i="4" s="1"/>
  <c r="G308" i="4" a="1"/>
  <c r="G308" i="4" s="1"/>
  <c r="G309" i="4" a="1"/>
  <c r="G309" i="4" s="1"/>
  <c r="G310" i="4" a="1"/>
  <c r="G310" i="4" s="1"/>
  <c r="G311" i="4" a="1"/>
  <c r="G311" i="4" s="1"/>
  <c r="G312" i="4" a="1"/>
  <c r="G312" i="4" s="1"/>
  <c r="G313" i="4" a="1"/>
  <c r="G313" i="4" s="1"/>
  <c r="G314" i="4" a="1"/>
  <c r="G314" i="4" s="1"/>
  <c r="G315" i="4" a="1"/>
  <c r="G315" i="4" s="1"/>
  <c r="G316" i="4" a="1"/>
  <c r="G316" i="4" s="1"/>
  <c r="G317" i="4" a="1"/>
  <c r="G317" i="4" s="1"/>
  <c r="G318" i="4" a="1"/>
  <c r="G318" i="4" s="1"/>
  <c r="G319" i="4" a="1"/>
  <c r="G319" i="4" s="1"/>
  <c r="G320" i="4" a="1"/>
  <c r="G320" i="4" s="1"/>
  <c r="G321" i="4" a="1"/>
  <c r="G321" i="4" s="1"/>
  <c r="G322" i="4" a="1"/>
  <c r="G322" i="4" s="1"/>
  <c r="G323" i="4" a="1"/>
  <c r="G323" i="4" s="1"/>
  <c r="G324" i="4" a="1"/>
  <c r="G324" i="4" s="1"/>
  <c r="G325" i="4" a="1"/>
  <c r="G325" i="4" s="1"/>
  <c r="G326" i="4" a="1"/>
  <c r="G326" i="4" s="1"/>
  <c r="G327" i="4" a="1"/>
  <c r="G327" i="4" s="1"/>
  <c r="G328" i="4" a="1"/>
  <c r="G328" i="4" s="1"/>
  <c r="G329" i="4" a="1"/>
  <c r="G329" i="4" s="1"/>
  <c r="G330" i="4" a="1"/>
  <c r="G330" i="4" s="1"/>
  <c r="G331" i="4" a="1"/>
  <c r="G331" i="4" s="1"/>
  <c r="G332" i="4" a="1"/>
  <c r="G332" i="4" s="1"/>
  <c r="G333" i="4" a="1"/>
  <c r="G333" i="4" s="1"/>
  <c r="G334" i="4" a="1"/>
  <c r="G334" i="4" s="1"/>
  <c r="G335" i="4" a="1"/>
  <c r="G335" i="4" s="1"/>
  <c r="G336" i="4" a="1"/>
  <c r="G336" i="4" s="1"/>
  <c r="G337" i="4" a="1"/>
  <c r="G337" i="4" s="1"/>
  <c r="G338" i="4" a="1"/>
  <c r="G338" i="4" s="1"/>
  <c r="G339" i="4" a="1"/>
  <c r="G339" i="4" s="1"/>
  <c r="G340" i="4" a="1"/>
  <c r="G340" i="4" s="1"/>
  <c r="G341" i="4" a="1"/>
  <c r="G341" i="4" s="1"/>
  <c r="G342" i="4" a="1"/>
  <c r="G342" i="4" s="1"/>
  <c r="G343" i="4" a="1"/>
  <c r="G343" i="4" s="1"/>
  <c r="G344" i="4" a="1"/>
  <c r="G344" i="4" s="1"/>
  <c r="G345" i="4" a="1"/>
  <c r="G345" i="4" s="1"/>
  <c r="G346" i="4" a="1"/>
  <c r="G346" i="4" s="1"/>
  <c r="G347" i="4" a="1"/>
  <c r="G347" i="4" s="1"/>
  <c r="G348" i="4" a="1"/>
  <c r="G348" i="4" s="1"/>
  <c r="G349" i="4" a="1"/>
  <c r="G349" i="4" s="1"/>
  <c r="G350" i="4" a="1"/>
  <c r="G350" i="4" s="1"/>
  <c r="G351" i="4" a="1"/>
  <c r="G351" i="4" s="1"/>
  <c r="G352" i="4" a="1"/>
  <c r="G352" i="4" s="1"/>
  <c r="G353" i="4" a="1"/>
  <c r="G353" i="4" s="1"/>
  <c r="G354" i="4" a="1"/>
  <c r="G354" i="4" s="1"/>
  <c r="G355" i="4" a="1"/>
  <c r="G355" i="4" s="1"/>
  <c r="G356" i="4" a="1"/>
  <c r="G356" i="4" s="1"/>
  <c r="G357" i="4" a="1"/>
  <c r="G357" i="4" s="1"/>
  <c r="G358" i="4" a="1"/>
  <c r="G358" i="4" s="1"/>
  <c r="G359" i="4" a="1"/>
  <c r="G359" i="4" s="1"/>
  <c r="G360" i="4" a="1"/>
  <c r="G360" i="4" s="1"/>
  <c r="G361" i="4" a="1"/>
  <c r="G361" i="4" s="1"/>
  <c r="G362" i="4" a="1"/>
  <c r="G362" i="4" s="1"/>
  <c r="G363" i="4" a="1"/>
  <c r="G363" i="4" s="1"/>
  <c r="G364" i="4" a="1"/>
  <c r="G364" i="4" s="1"/>
  <c r="G365" i="4" a="1"/>
  <c r="G365" i="4" s="1"/>
  <c r="G366" i="4" a="1"/>
  <c r="G366" i="4" s="1"/>
  <c r="G367" i="4" a="1"/>
  <c r="G367" i="4" s="1"/>
  <c r="G368" i="4" a="1"/>
  <c r="G368" i="4" s="1"/>
  <c r="G369" i="4" a="1"/>
  <c r="G369" i="4" s="1"/>
  <c r="G370" i="4" a="1"/>
  <c r="G370" i="4" s="1"/>
  <c r="G371" i="4" a="1"/>
  <c r="G371" i="4" s="1"/>
  <c r="G372" i="4" a="1"/>
  <c r="G372" i="4" s="1"/>
  <c r="G373" i="4" a="1"/>
  <c r="G373" i="4" s="1"/>
  <c r="G374" i="4" a="1"/>
  <c r="G374" i="4" s="1"/>
  <c r="G375" i="4" a="1"/>
  <c r="G375" i="4" s="1"/>
  <c r="G376" i="4" a="1"/>
  <c r="G376" i="4" s="1"/>
  <c r="G377" i="4" a="1"/>
  <c r="G377" i="4" s="1"/>
  <c r="G378" i="4" a="1"/>
  <c r="G378" i="4" s="1"/>
  <c r="G379" i="4" a="1"/>
  <c r="G379" i="4" s="1"/>
  <c r="G380" i="4" a="1"/>
  <c r="G380" i="4" s="1"/>
  <c r="G381" i="4" a="1"/>
  <c r="G381" i="4" s="1"/>
  <c r="G382" i="4" a="1"/>
  <c r="G382" i="4" s="1"/>
  <c r="G383" i="4" a="1"/>
  <c r="G383" i="4" s="1"/>
  <c r="G384" i="4" a="1"/>
  <c r="G384" i="4" s="1"/>
  <c r="G385" i="4" a="1"/>
  <c r="G385" i="4" s="1"/>
  <c r="G386" i="4" a="1"/>
  <c r="G386" i="4" s="1"/>
  <c r="G387" i="4" a="1"/>
  <c r="G387" i="4" s="1"/>
  <c r="G388" i="4" a="1"/>
  <c r="G388" i="4" s="1"/>
  <c r="G389" i="4" a="1"/>
  <c r="G389" i="4" s="1"/>
  <c r="G390" i="4" a="1"/>
  <c r="G390" i="4" s="1"/>
  <c r="G391" i="4" a="1"/>
  <c r="G391" i="4" s="1"/>
  <c r="G392" i="4" a="1"/>
  <c r="G392" i="4" s="1"/>
  <c r="G393" i="4" a="1"/>
  <c r="G393" i="4" s="1"/>
  <c r="G394" i="4" a="1"/>
  <c r="G394" i="4" s="1"/>
  <c r="G395" i="4" a="1"/>
  <c r="G395" i="4" s="1"/>
  <c r="G396" i="4" a="1"/>
  <c r="G396" i="4" s="1"/>
  <c r="G397" i="4" a="1"/>
  <c r="G397" i="4" s="1"/>
  <c r="G398" i="4" a="1"/>
  <c r="G398" i="4" s="1"/>
  <c r="G399" i="4" a="1"/>
  <c r="G399" i="4" s="1"/>
  <c r="G400" i="4" a="1"/>
  <c r="G400" i="4" s="1"/>
  <c r="G401" i="4" a="1"/>
  <c r="G401" i="4" s="1"/>
  <c r="G402" i="4" a="1"/>
  <c r="G402" i="4" s="1"/>
  <c r="G403" i="4" a="1"/>
  <c r="G403" i="4" s="1"/>
  <c r="G404" i="4" a="1"/>
  <c r="G404" i="4" s="1"/>
  <c r="G405" i="4" a="1"/>
  <c r="G405" i="4" s="1"/>
  <c r="G406" i="4" a="1"/>
  <c r="G406" i="4" s="1"/>
  <c r="G407" i="4" a="1"/>
  <c r="G407" i="4" s="1"/>
  <c r="G408" i="4" a="1"/>
  <c r="G408" i="4" s="1"/>
  <c r="G409" i="4" a="1"/>
  <c r="G409" i="4" s="1"/>
  <c r="G410" i="4" a="1"/>
  <c r="G410" i="4" s="1"/>
  <c r="G411" i="4" a="1"/>
  <c r="G411" i="4" s="1"/>
  <c r="G412" i="4" a="1"/>
  <c r="G412" i="4" s="1"/>
  <c r="G413" i="4" a="1"/>
  <c r="G413" i="4" s="1"/>
  <c r="G414" i="4" a="1"/>
  <c r="G414" i="4" s="1"/>
  <c r="G415" i="4" a="1"/>
  <c r="G415" i="4" s="1"/>
  <c r="G416" i="4" a="1"/>
  <c r="G416" i="4" s="1"/>
  <c r="G417" i="4" a="1"/>
  <c r="G417" i="4" s="1"/>
  <c r="G418" i="4" a="1"/>
  <c r="G418" i="4" s="1"/>
  <c r="G419" i="4" a="1"/>
  <c r="G419" i="4" s="1"/>
  <c r="G420" i="4" a="1"/>
  <c r="G420" i="4" s="1"/>
  <c r="G2" i="4" a="1"/>
  <c r="G2" i="4" s="1"/>
  <c r="H2" i="4"/>
  <c r="L374" i="4"/>
  <c r="M374" i="4" s="1"/>
  <c r="L375" i="4"/>
  <c r="M375" i="4" s="1"/>
  <c r="L376" i="4"/>
  <c r="M376" i="4" s="1"/>
  <c r="L377" i="4"/>
  <c r="M377" i="4" s="1"/>
  <c r="L378" i="4"/>
  <c r="M378" i="4" s="1"/>
  <c r="L379" i="4"/>
  <c r="M379" i="4" s="1"/>
  <c r="L380" i="4"/>
  <c r="M380" i="4" s="1"/>
  <c r="L381" i="4"/>
  <c r="M381" i="4" s="1"/>
  <c r="L382" i="4"/>
  <c r="M382" i="4" s="1"/>
  <c r="L383" i="4"/>
  <c r="M383" i="4" s="1"/>
  <c r="L384" i="4"/>
  <c r="M384" i="4" s="1"/>
  <c r="L385" i="4"/>
  <c r="M385" i="4" s="1"/>
  <c r="L386" i="4"/>
  <c r="M386" i="4" s="1"/>
  <c r="L387" i="4"/>
  <c r="M387" i="4" s="1"/>
  <c r="L388" i="4"/>
  <c r="M388" i="4" s="1"/>
  <c r="L389" i="4"/>
  <c r="M389" i="4" s="1"/>
  <c r="L390" i="4"/>
  <c r="M390" i="4" s="1"/>
  <c r="L391" i="4"/>
  <c r="M391" i="4" s="1"/>
  <c r="L392" i="4"/>
  <c r="M392" i="4" s="1"/>
  <c r="L393" i="4"/>
  <c r="M393" i="4" s="1"/>
  <c r="L394" i="4"/>
  <c r="M394" i="4" s="1"/>
  <c r="L373" i="4"/>
  <c r="M373" i="4" s="1"/>
  <c r="M15" i="4"/>
  <c r="L3" i="4"/>
  <c r="M3" i="4" s="1"/>
  <c r="L4" i="4"/>
  <c r="M4" i="4" s="1"/>
  <c r="L5" i="4"/>
  <c r="M5" i="4" s="1"/>
  <c r="L6" i="4"/>
  <c r="M6" i="4" s="1"/>
  <c r="L7" i="4"/>
  <c r="M7" i="4" s="1"/>
  <c r="L8" i="4"/>
  <c r="M8" i="4" s="1"/>
  <c r="L9" i="4"/>
  <c r="M9" i="4" s="1"/>
  <c r="L10" i="4"/>
  <c r="M10" i="4" s="1"/>
  <c r="L11" i="4"/>
  <c r="M11" i="4" s="1"/>
  <c r="L12" i="4"/>
  <c r="M12" i="4" s="1"/>
  <c r="L13" i="4"/>
  <c r="M13" i="4" s="1"/>
  <c r="L14" i="4"/>
  <c r="M14" i="4" s="1"/>
  <c r="L15" i="4"/>
  <c r="L16" i="4"/>
  <c r="M16" i="4" s="1"/>
  <c r="L17" i="4"/>
  <c r="M17" i="4" s="1"/>
  <c r="L18" i="4"/>
  <c r="M18" i="4" s="1"/>
  <c r="L19" i="4"/>
  <c r="M19" i="4" s="1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L26" i="4"/>
  <c r="M26" i="4" s="1"/>
  <c r="L27" i="4"/>
  <c r="M27" i="4" s="1"/>
  <c r="L28" i="4"/>
  <c r="M28" i="4" s="1"/>
  <c r="L29" i="4"/>
  <c r="M29" i="4" s="1"/>
  <c r="L30" i="4"/>
  <c r="M30" i="4" s="1"/>
  <c r="L31" i="4"/>
  <c r="M31" i="4" s="1"/>
  <c r="L32" i="4"/>
  <c r="M32" i="4" s="1"/>
  <c r="L33" i="4"/>
  <c r="M33" i="4" s="1"/>
  <c r="L34" i="4"/>
  <c r="M34" i="4" s="1"/>
  <c r="L35" i="4"/>
  <c r="M35" i="4" s="1"/>
  <c r="L36" i="4"/>
  <c r="M36" i="4" s="1"/>
  <c r="L37" i="4"/>
  <c r="M37" i="4" s="1"/>
  <c r="L38" i="4"/>
  <c r="M38" i="4" s="1"/>
  <c r="L39" i="4"/>
  <c r="M39" i="4" s="1"/>
  <c r="L40" i="4"/>
  <c r="M40" i="4" s="1"/>
  <c r="L41" i="4"/>
  <c r="M41" i="4" s="1"/>
  <c r="L42" i="4"/>
  <c r="M42" i="4" s="1"/>
  <c r="L43" i="4"/>
  <c r="M43" i="4" s="1"/>
  <c r="L44" i="4"/>
  <c r="M44" i="4" s="1"/>
  <c r="L45" i="4"/>
  <c r="M45" i="4" s="1"/>
  <c r="L46" i="4"/>
  <c r="M46" i="4" s="1"/>
  <c r="L47" i="4"/>
  <c r="M47" i="4" s="1"/>
  <c r="L48" i="4"/>
  <c r="M48" i="4" s="1"/>
  <c r="L49" i="4"/>
  <c r="M49" i="4" s="1"/>
  <c r="L50" i="4"/>
  <c r="M50" i="4" s="1"/>
  <c r="L51" i="4"/>
  <c r="M51" i="4" s="1"/>
  <c r="L52" i="4"/>
  <c r="M52" i="4" s="1"/>
  <c r="L53" i="4"/>
  <c r="M53" i="4" s="1"/>
  <c r="L54" i="4"/>
  <c r="M54" i="4" s="1"/>
  <c r="L55" i="4"/>
  <c r="M55" i="4" s="1"/>
  <c r="L56" i="4"/>
  <c r="M56" i="4" s="1"/>
  <c r="L57" i="4"/>
  <c r="M57" i="4" s="1"/>
  <c r="L58" i="4"/>
  <c r="M58" i="4" s="1"/>
  <c r="L59" i="4"/>
  <c r="M59" i="4" s="1"/>
  <c r="L60" i="4"/>
  <c r="M60" i="4" s="1"/>
  <c r="L61" i="4"/>
  <c r="M61" i="4" s="1"/>
  <c r="L62" i="4"/>
  <c r="M62" i="4" s="1"/>
  <c r="L63" i="4"/>
  <c r="M63" i="4" s="1"/>
  <c r="L64" i="4"/>
  <c r="M64" i="4" s="1"/>
  <c r="L65" i="4"/>
  <c r="M65" i="4" s="1"/>
  <c r="L66" i="4"/>
  <c r="M66" i="4" s="1"/>
  <c r="L67" i="4"/>
  <c r="M67" i="4" s="1"/>
  <c r="L68" i="4"/>
  <c r="M68" i="4" s="1"/>
  <c r="L69" i="4"/>
  <c r="M69" i="4" s="1"/>
  <c r="L70" i="4"/>
  <c r="M70" i="4" s="1"/>
  <c r="L71" i="4"/>
  <c r="M71" i="4" s="1"/>
  <c r="L72" i="4"/>
  <c r="M72" i="4" s="1"/>
  <c r="L73" i="4"/>
  <c r="M73" i="4" s="1"/>
  <c r="L74" i="4"/>
  <c r="M74" i="4" s="1"/>
  <c r="L75" i="4"/>
  <c r="M75" i="4" s="1"/>
  <c r="L76" i="4"/>
  <c r="M76" i="4" s="1"/>
  <c r="L77" i="4"/>
  <c r="M77" i="4" s="1"/>
  <c r="L78" i="4"/>
  <c r="M78" i="4" s="1"/>
  <c r="L79" i="4"/>
  <c r="M79" i="4" s="1"/>
  <c r="L80" i="4"/>
  <c r="M80" i="4" s="1"/>
  <c r="L81" i="4"/>
  <c r="M81" i="4" s="1"/>
  <c r="L82" i="4"/>
  <c r="M82" i="4" s="1"/>
  <c r="L83" i="4"/>
  <c r="M83" i="4" s="1"/>
  <c r="L84" i="4"/>
  <c r="M84" i="4" s="1"/>
  <c r="L85" i="4"/>
  <c r="M85" i="4" s="1"/>
  <c r="L86" i="4"/>
  <c r="M86" i="4" s="1"/>
  <c r="L87" i="4"/>
  <c r="M87" i="4" s="1"/>
  <c r="L88" i="4"/>
  <c r="M88" i="4" s="1"/>
  <c r="L89" i="4"/>
  <c r="M89" i="4" s="1"/>
  <c r="L90" i="4"/>
  <c r="M90" i="4" s="1"/>
  <c r="L91" i="4"/>
  <c r="M91" i="4" s="1"/>
  <c r="L92" i="4"/>
  <c r="M92" i="4" s="1"/>
  <c r="L93" i="4"/>
  <c r="M93" i="4" s="1"/>
  <c r="L94" i="4"/>
  <c r="M94" i="4" s="1"/>
  <c r="L95" i="4"/>
  <c r="M95" i="4" s="1"/>
  <c r="L96" i="4"/>
  <c r="M96" i="4" s="1"/>
  <c r="L97" i="4"/>
  <c r="M97" i="4" s="1"/>
  <c r="L98" i="4"/>
  <c r="M98" i="4" s="1"/>
  <c r="L99" i="4"/>
  <c r="M99" i="4" s="1"/>
  <c r="L100" i="4"/>
  <c r="M100" i="4" s="1"/>
  <c r="L101" i="4"/>
  <c r="M101" i="4" s="1"/>
  <c r="L102" i="4"/>
  <c r="M102" i="4" s="1"/>
  <c r="L103" i="4"/>
  <c r="M103" i="4" s="1"/>
  <c r="L104" i="4"/>
  <c r="M104" i="4" s="1"/>
  <c r="L105" i="4"/>
  <c r="M105" i="4" s="1"/>
  <c r="L106" i="4"/>
  <c r="M106" i="4" s="1"/>
  <c r="L107" i="4"/>
  <c r="M107" i="4" s="1"/>
  <c r="L108" i="4"/>
  <c r="M108" i="4" s="1"/>
  <c r="L109" i="4"/>
  <c r="M109" i="4" s="1"/>
  <c r="L110" i="4"/>
  <c r="M110" i="4" s="1"/>
  <c r="L111" i="4"/>
  <c r="M111" i="4" s="1"/>
  <c r="L112" i="4"/>
  <c r="M112" i="4" s="1"/>
  <c r="L113" i="4"/>
  <c r="M113" i="4" s="1"/>
  <c r="L114" i="4"/>
  <c r="M114" i="4" s="1"/>
  <c r="L115" i="4"/>
  <c r="M115" i="4" s="1"/>
  <c r="L116" i="4"/>
  <c r="M116" i="4" s="1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M123" i="4" s="1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M129" i="4" s="1"/>
  <c r="L130" i="4"/>
  <c r="M130" i="4" s="1"/>
  <c r="L131" i="4"/>
  <c r="M131" i="4" s="1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M142" i="4" s="1"/>
  <c r="L143" i="4"/>
  <c r="M143" i="4" s="1"/>
  <c r="L144" i="4"/>
  <c r="M144" i="4" s="1"/>
  <c r="L145" i="4"/>
  <c r="M145" i="4" s="1"/>
  <c r="L146" i="4"/>
  <c r="M146" i="4" s="1"/>
  <c r="L147" i="4"/>
  <c r="M147" i="4" s="1"/>
  <c r="L148" i="4"/>
  <c r="M148" i="4" s="1"/>
  <c r="L149" i="4"/>
  <c r="M149" i="4" s="1"/>
  <c r="L150" i="4"/>
  <c r="M150" i="4" s="1"/>
  <c r="L151" i="4"/>
  <c r="M151" i="4" s="1"/>
  <c r="L152" i="4"/>
  <c r="M152" i="4" s="1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M188" i="4" s="1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L224" i="4"/>
  <c r="M224" i="4" s="1"/>
  <c r="L225" i="4"/>
  <c r="M225" i="4" s="1"/>
  <c r="L226" i="4"/>
  <c r="M226" i="4" s="1"/>
  <c r="L227" i="4"/>
  <c r="M227" i="4" s="1"/>
  <c r="L228" i="4"/>
  <c r="M228" i="4" s="1"/>
  <c r="L229" i="4"/>
  <c r="M229" i="4" s="1"/>
  <c r="L230" i="4"/>
  <c r="M230" i="4" s="1"/>
  <c r="L231" i="4"/>
  <c r="M231" i="4" s="1"/>
  <c r="L232" i="4"/>
  <c r="M232" i="4" s="1"/>
  <c r="L233" i="4"/>
  <c r="M233" i="4" s="1"/>
  <c r="L234" i="4"/>
  <c r="M234" i="4" s="1"/>
  <c r="L235" i="4"/>
  <c r="M235" i="4" s="1"/>
  <c r="L236" i="4"/>
  <c r="M236" i="4" s="1"/>
  <c r="L237" i="4"/>
  <c r="M237" i="4" s="1"/>
  <c r="L238" i="4"/>
  <c r="M238" i="4" s="1"/>
  <c r="L239" i="4"/>
  <c r="M239" i="4" s="1"/>
  <c r="L240" i="4"/>
  <c r="M240" i="4" s="1"/>
  <c r="L241" i="4"/>
  <c r="M241" i="4" s="1"/>
  <c r="L242" i="4"/>
  <c r="M242" i="4" s="1"/>
  <c r="L243" i="4"/>
  <c r="M243" i="4" s="1"/>
  <c r="L244" i="4"/>
  <c r="M244" i="4" s="1"/>
  <c r="L245" i="4"/>
  <c r="M245" i="4" s="1"/>
  <c r="L246" i="4"/>
  <c r="M246" i="4" s="1"/>
  <c r="L247" i="4"/>
  <c r="M247" i="4" s="1"/>
  <c r="L248" i="4"/>
  <c r="M248" i="4" s="1"/>
  <c r="L249" i="4"/>
  <c r="M249" i="4" s="1"/>
  <c r="L250" i="4"/>
  <c r="M250" i="4" s="1"/>
  <c r="L251" i="4"/>
  <c r="M251" i="4" s="1"/>
  <c r="L252" i="4"/>
  <c r="M252" i="4" s="1"/>
  <c r="L253" i="4"/>
  <c r="M253" i="4" s="1"/>
  <c r="L254" i="4"/>
  <c r="M254" i="4" s="1"/>
  <c r="L255" i="4"/>
  <c r="M255" i="4" s="1"/>
  <c r="L256" i="4"/>
  <c r="M256" i="4" s="1"/>
  <c r="L257" i="4"/>
  <c r="M257" i="4" s="1"/>
  <c r="L258" i="4"/>
  <c r="M258" i="4" s="1"/>
  <c r="L259" i="4"/>
  <c r="M259" i="4" s="1"/>
  <c r="L260" i="4"/>
  <c r="M260" i="4" s="1"/>
  <c r="L261" i="4"/>
  <c r="M261" i="4" s="1"/>
  <c r="L262" i="4"/>
  <c r="M262" i="4" s="1"/>
  <c r="L263" i="4"/>
  <c r="M263" i="4" s="1"/>
  <c r="L264" i="4"/>
  <c r="M264" i="4" s="1"/>
  <c r="L265" i="4"/>
  <c r="M265" i="4" s="1"/>
  <c r="L266" i="4"/>
  <c r="M266" i="4" s="1"/>
  <c r="L267" i="4"/>
  <c r="M267" i="4" s="1"/>
  <c r="L268" i="4"/>
  <c r="M268" i="4" s="1"/>
  <c r="L269" i="4"/>
  <c r="M269" i="4" s="1"/>
  <c r="L270" i="4"/>
  <c r="M270" i="4" s="1"/>
  <c r="L271" i="4"/>
  <c r="M271" i="4" s="1"/>
  <c r="L272" i="4"/>
  <c r="M272" i="4" s="1"/>
  <c r="L273" i="4"/>
  <c r="M273" i="4" s="1"/>
  <c r="L274" i="4"/>
  <c r="M274" i="4" s="1"/>
  <c r="L275" i="4"/>
  <c r="M275" i="4" s="1"/>
  <c r="L276" i="4"/>
  <c r="M276" i="4" s="1"/>
  <c r="L277" i="4"/>
  <c r="M277" i="4" s="1"/>
  <c r="L278" i="4"/>
  <c r="M278" i="4" s="1"/>
  <c r="L279" i="4"/>
  <c r="M279" i="4" s="1"/>
  <c r="L280" i="4"/>
  <c r="M280" i="4" s="1"/>
  <c r="L281" i="4"/>
  <c r="M281" i="4" s="1"/>
  <c r="L282" i="4"/>
  <c r="M282" i="4" s="1"/>
  <c r="L283" i="4"/>
  <c r="M283" i="4" s="1"/>
  <c r="L284" i="4"/>
  <c r="M284" i="4" s="1"/>
  <c r="L285" i="4"/>
  <c r="M285" i="4" s="1"/>
  <c r="L286" i="4"/>
  <c r="M286" i="4" s="1"/>
  <c r="L287" i="4"/>
  <c r="M287" i="4" s="1"/>
  <c r="L288" i="4"/>
  <c r="M288" i="4" s="1"/>
  <c r="L289" i="4"/>
  <c r="M289" i="4" s="1"/>
  <c r="L290" i="4"/>
  <c r="M290" i="4" s="1"/>
  <c r="L291" i="4"/>
  <c r="M291" i="4" s="1"/>
  <c r="L292" i="4"/>
  <c r="M292" i="4" s="1"/>
  <c r="L293" i="4"/>
  <c r="M293" i="4" s="1"/>
  <c r="L294" i="4"/>
  <c r="M294" i="4" s="1"/>
  <c r="L295" i="4"/>
  <c r="M295" i="4" s="1"/>
  <c r="L296" i="4"/>
  <c r="M296" i="4" s="1"/>
  <c r="L297" i="4"/>
  <c r="M297" i="4" s="1"/>
  <c r="L298" i="4"/>
  <c r="M298" i="4" s="1"/>
  <c r="L299" i="4"/>
  <c r="M299" i="4" s="1"/>
  <c r="L300" i="4"/>
  <c r="M300" i="4" s="1"/>
  <c r="L301" i="4"/>
  <c r="M301" i="4" s="1"/>
  <c r="L302" i="4"/>
  <c r="M302" i="4" s="1"/>
  <c r="L303" i="4"/>
  <c r="M303" i="4" s="1"/>
  <c r="L304" i="4"/>
  <c r="M304" i="4" s="1"/>
  <c r="L305" i="4"/>
  <c r="M305" i="4" s="1"/>
  <c r="L306" i="4"/>
  <c r="M306" i="4" s="1"/>
  <c r="L307" i="4"/>
  <c r="M307" i="4" s="1"/>
  <c r="L308" i="4"/>
  <c r="M308" i="4" s="1"/>
  <c r="L309" i="4"/>
  <c r="M309" i="4" s="1"/>
  <c r="L310" i="4"/>
  <c r="M310" i="4" s="1"/>
  <c r="L311" i="4"/>
  <c r="M311" i="4" s="1"/>
  <c r="L312" i="4"/>
  <c r="M312" i="4" s="1"/>
  <c r="L313" i="4"/>
  <c r="M313" i="4" s="1"/>
  <c r="L314" i="4"/>
  <c r="M314" i="4" s="1"/>
  <c r="L315" i="4"/>
  <c r="M315" i="4" s="1"/>
  <c r="L316" i="4"/>
  <c r="M316" i="4" s="1"/>
  <c r="L317" i="4"/>
  <c r="M317" i="4" s="1"/>
  <c r="L318" i="4"/>
  <c r="M318" i="4" s="1"/>
  <c r="L319" i="4"/>
  <c r="M319" i="4" s="1"/>
  <c r="L320" i="4"/>
  <c r="M320" i="4" s="1"/>
  <c r="L321" i="4"/>
  <c r="M321" i="4" s="1"/>
  <c r="L322" i="4"/>
  <c r="M322" i="4" s="1"/>
  <c r="L323" i="4"/>
  <c r="M323" i="4" s="1"/>
  <c r="L324" i="4"/>
  <c r="M324" i="4" s="1"/>
  <c r="L325" i="4"/>
  <c r="M325" i="4" s="1"/>
  <c r="L326" i="4"/>
  <c r="M326" i="4" s="1"/>
  <c r="L327" i="4"/>
  <c r="M327" i="4" s="1"/>
  <c r="L328" i="4"/>
  <c r="M328" i="4" s="1"/>
  <c r="L329" i="4"/>
  <c r="M329" i="4" s="1"/>
  <c r="L330" i="4"/>
  <c r="M330" i="4" s="1"/>
  <c r="L331" i="4"/>
  <c r="M331" i="4" s="1"/>
  <c r="L332" i="4"/>
  <c r="M332" i="4" s="1"/>
  <c r="L333" i="4"/>
  <c r="M333" i="4" s="1"/>
  <c r="L334" i="4"/>
  <c r="M334" i="4" s="1"/>
  <c r="L335" i="4"/>
  <c r="M335" i="4" s="1"/>
  <c r="L336" i="4"/>
  <c r="M336" i="4" s="1"/>
  <c r="L337" i="4"/>
  <c r="M337" i="4" s="1"/>
  <c r="L338" i="4"/>
  <c r="M338" i="4" s="1"/>
  <c r="L339" i="4"/>
  <c r="M339" i="4" s="1"/>
  <c r="L340" i="4"/>
  <c r="M340" i="4" s="1"/>
  <c r="L341" i="4"/>
  <c r="M341" i="4" s="1"/>
  <c r="L342" i="4"/>
  <c r="M342" i="4" s="1"/>
  <c r="L343" i="4"/>
  <c r="M343" i="4" s="1"/>
  <c r="L344" i="4"/>
  <c r="M344" i="4" s="1"/>
  <c r="L345" i="4"/>
  <c r="M345" i="4" s="1"/>
  <c r="L346" i="4"/>
  <c r="M346" i="4" s="1"/>
  <c r="L347" i="4"/>
  <c r="M347" i="4" s="1"/>
  <c r="L348" i="4"/>
  <c r="M348" i="4" s="1"/>
  <c r="L349" i="4"/>
  <c r="M349" i="4" s="1"/>
  <c r="L350" i="4"/>
  <c r="M350" i="4" s="1"/>
  <c r="L351" i="4"/>
  <c r="M351" i="4" s="1"/>
  <c r="L352" i="4"/>
  <c r="M352" i="4" s="1"/>
  <c r="L353" i="4"/>
  <c r="M353" i="4" s="1"/>
  <c r="L354" i="4"/>
  <c r="M354" i="4" s="1"/>
  <c r="L355" i="4"/>
  <c r="M355" i="4" s="1"/>
  <c r="L356" i="4"/>
  <c r="M356" i="4" s="1"/>
  <c r="L357" i="4"/>
  <c r="M357" i="4" s="1"/>
  <c r="L358" i="4"/>
  <c r="M358" i="4" s="1"/>
  <c r="L359" i="4"/>
  <c r="M359" i="4" s="1"/>
  <c r="L360" i="4"/>
  <c r="M360" i="4" s="1"/>
  <c r="L361" i="4"/>
  <c r="M361" i="4" s="1"/>
  <c r="L362" i="4"/>
  <c r="M362" i="4" s="1"/>
  <c r="L363" i="4"/>
  <c r="M363" i="4" s="1"/>
  <c r="L364" i="4"/>
  <c r="M364" i="4" s="1"/>
  <c r="L365" i="4"/>
  <c r="M365" i="4" s="1"/>
  <c r="L366" i="4"/>
  <c r="M366" i="4" s="1"/>
  <c r="L367" i="4"/>
  <c r="M367" i="4" s="1"/>
  <c r="L368" i="4"/>
  <c r="M368" i="4" s="1"/>
  <c r="L369" i="4"/>
  <c r="M369" i="4" s="1"/>
  <c r="L370" i="4"/>
  <c r="M370" i="4" s="1"/>
  <c r="L371" i="4"/>
  <c r="M371" i="4" s="1"/>
  <c r="L372" i="4"/>
  <c r="M372" i="4" s="1"/>
  <c r="L395" i="4"/>
  <c r="M395" i="4" s="1"/>
  <c r="L396" i="4"/>
  <c r="M396" i="4" s="1"/>
  <c r="L397" i="4"/>
  <c r="M397" i="4" s="1"/>
  <c r="L398" i="4"/>
  <c r="M398" i="4" s="1"/>
  <c r="L399" i="4"/>
  <c r="M399" i="4" s="1"/>
  <c r="L400" i="4"/>
  <c r="M400" i="4" s="1"/>
  <c r="L401" i="4"/>
  <c r="M401" i="4" s="1"/>
  <c r="L402" i="4"/>
  <c r="M402" i="4" s="1"/>
  <c r="L403" i="4"/>
  <c r="M403" i="4" s="1"/>
  <c r="L404" i="4"/>
  <c r="M404" i="4" s="1"/>
  <c r="L405" i="4"/>
  <c r="M405" i="4" s="1"/>
  <c r="L406" i="4"/>
  <c r="M406" i="4" s="1"/>
  <c r="L407" i="4"/>
  <c r="M407" i="4" s="1"/>
  <c r="L408" i="4"/>
  <c r="M408" i="4" s="1"/>
  <c r="L409" i="4"/>
  <c r="M409" i="4" s="1"/>
  <c r="L410" i="4"/>
  <c r="M410" i="4" s="1"/>
  <c r="L411" i="4"/>
  <c r="M411" i="4" s="1"/>
  <c r="L412" i="4"/>
  <c r="M412" i="4" s="1"/>
  <c r="L413" i="4"/>
  <c r="M413" i="4" s="1"/>
  <c r="L414" i="4"/>
  <c r="M414" i="4" s="1"/>
  <c r="L415" i="4"/>
  <c r="M415" i="4" s="1"/>
  <c r="L416" i="4"/>
  <c r="M416" i="4" s="1"/>
  <c r="L417" i="4"/>
  <c r="M417" i="4" s="1"/>
  <c r="L418" i="4"/>
  <c r="M418" i="4" s="1"/>
  <c r="L419" i="4"/>
  <c r="M419" i="4" s="1"/>
  <c r="L420" i="4"/>
  <c r="M420" i="4" s="1"/>
  <c r="L2" i="4"/>
  <c r="M2" i="4" s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2" i="3"/>
  <c r="I3" i="4" l="1"/>
  <c r="J3" i="4" a="1"/>
  <c r="J3" i="4" s="1"/>
  <c r="I4" i="4"/>
  <c r="J4" i="4" a="1"/>
  <c r="J4" i="4" s="1"/>
  <c r="I5" i="4"/>
  <c r="J5" i="4" a="1"/>
  <c r="J5" i="4" s="1"/>
  <c r="I6" i="4"/>
  <c r="J6" i="4" a="1"/>
  <c r="J6" i="4" s="1"/>
  <c r="I7" i="4"/>
  <c r="J7" i="4" a="1"/>
  <c r="J7" i="4" s="1"/>
  <c r="I8" i="4"/>
  <c r="J8" i="4" a="1"/>
  <c r="J8" i="4" s="1"/>
  <c r="I9" i="4"/>
  <c r="J9" i="4" a="1"/>
  <c r="J9" i="4" s="1"/>
  <c r="I10" i="4"/>
  <c r="J10" i="4" a="1"/>
  <c r="J10" i="4" s="1"/>
  <c r="I11" i="4"/>
  <c r="J11" i="4" a="1"/>
  <c r="J11" i="4" s="1"/>
  <c r="I12" i="4"/>
  <c r="J12" i="4" a="1"/>
  <c r="J12" i="4" s="1"/>
  <c r="I13" i="4"/>
  <c r="J13" i="4" a="1"/>
  <c r="J13" i="4" s="1"/>
  <c r="I14" i="4"/>
  <c r="J14" i="4" a="1"/>
  <c r="J14" i="4" s="1"/>
  <c r="I15" i="4"/>
  <c r="J15" i="4" a="1"/>
  <c r="J15" i="4" s="1"/>
  <c r="I16" i="4"/>
  <c r="J16" i="4" a="1"/>
  <c r="J16" i="4" s="1"/>
  <c r="I17" i="4"/>
  <c r="J17" i="4" a="1"/>
  <c r="J17" i="4" s="1"/>
  <c r="I18" i="4"/>
  <c r="J18" i="4" a="1"/>
  <c r="J18" i="4" s="1"/>
  <c r="I19" i="4"/>
  <c r="J19" i="4" a="1"/>
  <c r="J19" i="4" s="1"/>
  <c r="I20" i="4"/>
  <c r="J20" i="4" a="1"/>
  <c r="J20" i="4" s="1"/>
  <c r="I21" i="4"/>
  <c r="J21" i="4" a="1"/>
  <c r="J21" i="4" s="1"/>
  <c r="I22" i="4"/>
  <c r="J22" i="4" a="1"/>
  <c r="J22" i="4" s="1"/>
  <c r="I23" i="4"/>
  <c r="J23" i="4" a="1"/>
  <c r="J23" i="4" s="1"/>
  <c r="I24" i="4"/>
  <c r="J24" i="4" a="1"/>
  <c r="J24" i="4" s="1"/>
  <c r="I25" i="4"/>
  <c r="J25" i="4" a="1"/>
  <c r="J25" i="4" s="1"/>
  <c r="I26" i="4"/>
  <c r="J26" i="4" a="1"/>
  <c r="J26" i="4" s="1"/>
  <c r="I27" i="4"/>
  <c r="J27" i="4" a="1"/>
  <c r="J27" i="4" s="1"/>
  <c r="I28" i="4"/>
  <c r="J28" i="4" a="1"/>
  <c r="J28" i="4" s="1"/>
  <c r="I29" i="4"/>
  <c r="J29" i="4" a="1"/>
  <c r="J29" i="4" s="1"/>
  <c r="I30" i="4"/>
  <c r="J30" i="4" a="1"/>
  <c r="J30" i="4" s="1"/>
  <c r="I31" i="4"/>
  <c r="J31" i="4" a="1"/>
  <c r="J31" i="4" s="1"/>
  <c r="I32" i="4"/>
  <c r="J32" i="4" a="1"/>
  <c r="J32" i="4" s="1"/>
  <c r="I33" i="4"/>
  <c r="J33" i="4" a="1"/>
  <c r="J33" i="4" s="1"/>
  <c r="I34" i="4"/>
  <c r="J34" i="4" a="1"/>
  <c r="J34" i="4" s="1"/>
  <c r="I35" i="4"/>
  <c r="J35" i="4" a="1"/>
  <c r="J35" i="4" s="1"/>
  <c r="I36" i="4"/>
  <c r="J36" i="4" a="1"/>
  <c r="J36" i="4" s="1"/>
  <c r="I37" i="4"/>
  <c r="J37" i="4" a="1"/>
  <c r="J37" i="4" s="1"/>
  <c r="I38" i="4"/>
  <c r="J38" i="4" a="1"/>
  <c r="J38" i="4" s="1"/>
  <c r="I39" i="4"/>
  <c r="J39" i="4" a="1"/>
  <c r="J39" i="4" s="1"/>
  <c r="I40" i="4"/>
  <c r="J40" i="4" a="1"/>
  <c r="J40" i="4" s="1"/>
  <c r="I41" i="4"/>
  <c r="J41" i="4" a="1"/>
  <c r="J41" i="4" s="1"/>
  <c r="I42" i="4"/>
  <c r="J42" i="4" a="1"/>
  <c r="J42" i="4" s="1"/>
  <c r="I43" i="4"/>
  <c r="J43" i="4" a="1"/>
  <c r="J43" i="4" s="1"/>
  <c r="I44" i="4"/>
  <c r="J44" i="4" a="1"/>
  <c r="J44" i="4" s="1"/>
  <c r="I45" i="4"/>
  <c r="J45" i="4" a="1"/>
  <c r="J45" i="4" s="1"/>
  <c r="I46" i="4"/>
  <c r="J46" i="4" a="1"/>
  <c r="J46" i="4" s="1"/>
  <c r="I47" i="4"/>
  <c r="J47" i="4" a="1"/>
  <c r="J47" i="4" s="1"/>
  <c r="I48" i="4"/>
  <c r="J48" i="4" a="1"/>
  <c r="J48" i="4" s="1"/>
  <c r="I49" i="4"/>
  <c r="J49" i="4" a="1"/>
  <c r="J49" i="4" s="1"/>
  <c r="I50" i="4"/>
  <c r="J50" i="4" a="1"/>
  <c r="J50" i="4" s="1"/>
  <c r="I51" i="4"/>
  <c r="J51" i="4" a="1"/>
  <c r="J51" i="4" s="1"/>
  <c r="I52" i="4"/>
  <c r="J52" i="4" a="1"/>
  <c r="J52" i="4" s="1"/>
  <c r="I53" i="4"/>
  <c r="J53" i="4" a="1"/>
  <c r="J53" i="4" s="1"/>
  <c r="I54" i="4"/>
  <c r="J54" i="4" a="1"/>
  <c r="J54" i="4" s="1"/>
  <c r="I55" i="4"/>
  <c r="J55" i="4" a="1"/>
  <c r="J55" i="4" s="1"/>
  <c r="I56" i="4"/>
  <c r="J56" i="4" a="1"/>
  <c r="J56" i="4" s="1"/>
  <c r="I57" i="4"/>
  <c r="J57" i="4" a="1"/>
  <c r="J57" i="4" s="1"/>
  <c r="I58" i="4"/>
  <c r="J58" i="4" a="1"/>
  <c r="J58" i="4" s="1"/>
  <c r="I59" i="4"/>
  <c r="J59" i="4" a="1"/>
  <c r="J59" i="4" s="1"/>
  <c r="I60" i="4"/>
  <c r="J60" i="4" a="1"/>
  <c r="J60" i="4" s="1"/>
  <c r="I61" i="4"/>
  <c r="J61" i="4" a="1"/>
  <c r="J61" i="4" s="1"/>
  <c r="I62" i="4"/>
  <c r="J62" i="4" a="1"/>
  <c r="J62" i="4" s="1"/>
  <c r="I63" i="4"/>
  <c r="J63" i="4" a="1"/>
  <c r="J63" i="4" s="1"/>
  <c r="I64" i="4"/>
  <c r="J64" i="4" a="1"/>
  <c r="J64" i="4" s="1"/>
  <c r="I65" i="4"/>
  <c r="J65" i="4" a="1"/>
  <c r="J65" i="4" s="1"/>
  <c r="I66" i="4"/>
  <c r="J66" i="4" a="1"/>
  <c r="J66" i="4" s="1"/>
  <c r="I67" i="4"/>
  <c r="J67" i="4" a="1"/>
  <c r="J67" i="4" s="1"/>
  <c r="I68" i="4"/>
  <c r="J68" i="4" a="1"/>
  <c r="J68" i="4" s="1"/>
  <c r="I69" i="4"/>
  <c r="J69" i="4" a="1"/>
  <c r="J69" i="4" s="1"/>
  <c r="I70" i="4"/>
  <c r="J70" i="4" a="1"/>
  <c r="J70" i="4" s="1"/>
  <c r="I71" i="4"/>
  <c r="J71" i="4" a="1"/>
  <c r="J71" i="4" s="1"/>
  <c r="I72" i="4"/>
  <c r="J72" i="4" a="1"/>
  <c r="J72" i="4" s="1"/>
  <c r="I73" i="4"/>
  <c r="J73" i="4" a="1"/>
  <c r="J73" i="4" s="1"/>
  <c r="I74" i="4"/>
  <c r="J74" i="4" a="1"/>
  <c r="J74" i="4" s="1"/>
  <c r="I75" i="4"/>
  <c r="J75" i="4" a="1"/>
  <c r="J75" i="4" s="1"/>
  <c r="I76" i="4"/>
  <c r="J76" i="4" a="1"/>
  <c r="J76" i="4" s="1"/>
  <c r="I77" i="4"/>
  <c r="J77" i="4" a="1"/>
  <c r="J77" i="4" s="1"/>
  <c r="I78" i="4"/>
  <c r="J78" i="4" a="1"/>
  <c r="J78" i="4" s="1"/>
  <c r="I79" i="4"/>
  <c r="J79" i="4" a="1"/>
  <c r="J79" i="4" s="1"/>
  <c r="I80" i="4"/>
  <c r="J80" i="4" a="1"/>
  <c r="J80" i="4" s="1"/>
  <c r="I81" i="4"/>
  <c r="J81" i="4" a="1"/>
  <c r="J81" i="4" s="1"/>
  <c r="I82" i="4"/>
  <c r="J82" i="4" a="1"/>
  <c r="J82" i="4" s="1"/>
  <c r="I83" i="4"/>
  <c r="J83" i="4" a="1"/>
  <c r="J83" i="4" s="1"/>
  <c r="I84" i="4"/>
  <c r="J84" i="4" a="1"/>
  <c r="J84" i="4" s="1"/>
  <c r="I85" i="4"/>
  <c r="J85" i="4" a="1"/>
  <c r="J85" i="4" s="1"/>
  <c r="I86" i="4"/>
  <c r="J86" i="4" a="1"/>
  <c r="J86" i="4" s="1"/>
  <c r="I87" i="4"/>
  <c r="J87" i="4" a="1"/>
  <c r="J87" i="4" s="1"/>
  <c r="I88" i="4"/>
  <c r="J88" i="4" a="1"/>
  <c r="J88" i="4" s="1"/>
  <c r="I89" i="4"/>
  <c r="J89" i="4" a="1"/>
  <c r="J89" i="4" s="1"/>
  <c r="I90" i="4"/>
  <c r="J90" i="4" a="1"/>
  <c r="J90" i="4" s="1"/>
  <c r="I91" i="4"/>
  <c r="J91" i="4" a="1"/>
  <c r="J91" i="4" s="1"/>
  <c r="I92" i="4"/>
  <c r="J92" i="4" a="1"/>
  <c r="J92" i="4" s="1"/>
  <c r="I93" i="4"/>
  <c r="J93" i="4" a="1"/>
  <c r="J93" i="4" s="1"/>
  <c r="I94" i="4"/>
  <c r="J94" i="4" a="1"/>
  <c r="J94" i="4" s="1"/>
  <c r="I95" i="4"/>
  <c r="J95" i="4" a="1"/>
  <c r="J95" i="4" s="1"/>
  <c r="I96" i="4"/>
  <c r="J96" i="4" a="1"/>
  <c r="J96" i="4" s="1"/>
  <c r="I97" i="4"/>
  <c r="J97" i="4" a="1"/>
  <c r="J97" i="4" s="1"/>
  <c r="I98" i="4"/>
  <c r="J98" i="4" a="1"/>
  <c r="J98" i="4" s="1"/>
  <c r="I99" i="4"/>
  <c r="J99" i="4" a="1"/>
  <c r="J99" i="4" s="1"/>
  <c r="I100" i="4"/>
  <c r="J100" i="4" a="1"/>
  <c r="J100" i="4" s="1"/>
  <c r="I101" i="4"/>
  <c r="J101" i="4" a="1"/>
  <c r="J101" i="4" s="1"/>
  <c r="I102" i="4"/>
  <c r="J102" i="4" a="1"/>
  <c r="J102" i="4" s="1"/>
  <c r="I103" i="4"/>
  <c r="J103" i="4" a="1"/>
  <c r="J103" i="4" s="1"/>
  <c r="I104" i="4"/>
  <c r="J104" i="4" a="1"/>
  <c r="J104" i="4" s="1"/>
  <c r="I105" i="4"/>
  <c r="J105" i="4" a="1"/>
  <c r="J105" i="4" s="1"/>
  <c r="I106" i="4"/>
  <c r="J106" i="4" a="1"/>
  <c r="J106" i="4" s="1"/>
  <c r="I107" i="4"/>
  <c r="J107" i="4" a="1"/>
  <c r="J107" i="4" s="1"/>
  <c r="I108" i="4"/>
  <c r="J108" i="4" a="1"/>
  <c r="J108" i="4" s="1"/>
  <c r="I109" i="4"/>
  <c r="J109" i="4" a="1"/>
  <c r="J109" i="4" s="1"/>
  <c r="I110" i="4"/>
  <c r="J110" i="4" a="1"/>
  <c r="J110" i="4" s="1"/>
  <c r="I111" i="4"/>
  <c r="J111" i="4" a="1"/>
  <c r="J111" i="4" s="1"/>
  <c r="I112" i="4"/>
  <c r="J112" i="4" a="1"/>
  <c r="J112" i="4" s="1"/>
  <c r="I113" i="4"/>
  <c r="J113" i="4" a="1"/>
  <c r="J113" i="4" s="1"/>
  <c r="I114" i="4"/>
  <c r="J114" i="4" a="1"/>
  <c r="J114" i="4" s="1"/>
  <c r="I115" i="4"/>
  <c r="J115" i="4" a="1"/>
  <c r="J115" i="4" s="1"/>
  <c r="I116" i="4"/>
  <c r="J116" i="4" a="1"/>
  <c r="J116" i="4" s="1"/>
  <c r="I117" i="4"/>
  <c r="J117" i="4" a="1"/>
  <c r="J117" i="4" s="1"/>
  <c r="I118" i="4"/>
  <c r="J118" i="4" a="1"/>
  <c r="J118" i="4" s="1"/>
  <c r="I119" i="4"/>
  <c r="J119" i="4" a="1"/>
  <c r="J119" i="4" s="1"/>
  <c r="I120" i="4"/>
  <c r="J120" i="4" a="1"/>
  <c r="J120" i="4" s="1"/>
  <c r="I121" i="4"/>
  <c r="J121" i="4" a="1"/>
  <c r="J121" i="4" s="1"/>
  <c r="I122" i="4"/>
  <c r="J122" i="4" a="1"/>
  <c r="J122" i="4" s="1"/>
  <c r="I123" i="4"/>
  <c r="J123" i="4" a="1"/>
  <c r="J123" i="4" s="1"/>
  <c r="I124" i="4"/>
  <c r="J124" i="4" a="1"/>
  <c r="J124" i="4" s="1"/>
  <c r="I125" i="4"/>
  <c r="J125" i="4" a="1"/>
  <c r="J125" i="4" s="1"/>
  <c r="I126" i="4"/>
  <c r="J126" i="4" a="1"/>
  <c r="J126" i="4" s="1"/>
  <c r="I127" i="4"/>
  <c r="J127" i="4" a="1"/>
  <c r="J127" i="4" s="1"/>
  <c r="I128" i="4"/>
  <c r="J128" i="4" a="1"/>
  <c r="J128" i="4" s="1"/>
  <c r="I129" i="4"/>
  <c r="J129" i="4" a="1"/>
  <c r="J129" i="4" s="1"/>
  <c r="I130" i="4"/>
  <c r="J130" i="4" a="1"/>
  <c r="J130" i="4" s="1"/>
  <c r="I131" i="4"/>
  <c r="J131" i="4" a="1"/>
  <c r="J131" i="4" s="1"/>
  <c r="I132" i="4"/>
  <c r="J132" i="4" a="1"/>
  <c r="J132" i="4" s="1"/>
  <c r="I133" i="4"/>
  <c r="J133" i="4" a="1"/>
  <c r="J133" i="4" s="1"/>
  <c r="I134" i="4"/>
  <c r="J134" i="4" a="1"/>
  <c r="J134" i="4" s="1"/>
  <c r="I135" i="4"/>
  <c r="J135" i="4" a="1"/>
  <c r="J135" i="4" s="1"/>
  <c r="I136" i="4"/>
  <c r="J136" i="4" a="1"/>
  <c r="J136" i="4" s="1"/>
  <c r="I137" i="4"/>
  <c r="J137" i="4" a="1"/>
  <c r="J137" i="4" s="1"/>
  <c r="I138" i="4"/>
  <c r="J138" i="4" a="1"/>
  <c r="J138" i="4"/>
  <c r="I139" i="4"/>
  <c r="J139" i="4" a="1"/>
  <c r="J139" i="4" s="1"/>
  <c r="I140" i="4"/>
  <c r="J140" i="4" a="1"/>
  <c r="J140" i="4" s="1"/>
  <c r="I141" i="4"/>
  <c r="J141" i="4" a="1"/>
  <c r="J141" i="4" s="1"/>
  <c r="I142" i="4"/>
  <c r="J142" i="4" a="1"/>
  <c r="J142" i="4" s="1"/>
  <c r="I143" i="4"/>
  <c r="J143" i="4" a="1"/>
  <c r="J143" i="4" s="1"/>
  <c r="I144" i="4"/>
  <c r="J144" i="4" a="1"/>
  <c r="J144" i="4" s="1"/>
  <c r="I145" i="4"/>
  <c r="J145" i="4" a="1"/>
  <c r="J145" i="4" s="1"/>
  <c r="I146" i="4"/>
  <c r="J146" i="4" a="1"/>
  <c r="J146" i="4" s="1"/>
  <c r="I147" i="4"/>
  <c r="J147" i="4" a="1"/>
  <c r="J147" i="4" s="1"/>
  <c r="I148" i="4"/>
  <c r="J148" i="4" a="1"/>
  <c r="J148" i="4" s="1"/>
  <c r="I149" i="4"/>
  <c r="J149" i="4" a="1"/>
  <c r="J149" i="4" s="1"/>
  <c r="I150" i="4"/>
  <c r="J150" i="4" a="1"/>
  <c r="J150" i="4" s="1"/>
  <c r="I151" i="4"/>
  <c r="J151" i="4" a="1"/>
  <c r="J151" i="4" s="1"/>
  <c r="I152" i="4"/>
  <c r="J152" i="4" a="1"/>
  <c r="J152" i="4" s="1"/>
  <c r="I153" i="4"/>
  <c r="J153" i="4" a="1"/>
  <c r="J153" i="4" s="1"/>
  <c r="I154" i="4"/>
  <c r="J154" i="4" a="1"/>
  <c r="J154" i="4" s="1"/>
  <c r="I155" i="4"/>
  <c r="J155" i="4" a="1"/>
  <c r="J155" i="4" s="1"/>
  <c r="I156" i="4"/>
  <c r="J156" i="4" a="1"/>
  <c r="J156" i="4" s="1"/>
  <c r="I157" i="4"/>
  <c r="J157" i="4" a="1"/>
  <c r="J157" i="4" s="1"/>
  <c r="I158" i="4"/>
  <c r="J158" i="4" a="1"/>
  <c r="J158" i="4" s="1"/>
  <c r="I159" i="4"/>
  <c r="J159" i="4" a="1"/>
  <c r="J159" i="4" s="1"/>
  <c r="I160" i="4"/>
  <c r="J160" i="4" a="1"/>
  <c r="J160" i="4" s="1"/>
  <c r="I161" i="4"/>
  <c r="J161" i="4" a="1"/>
  <c r="J161" i="4" s="1"/>
  <c r="I162" i="4"/>
  <c r="J162" i="4" a="1"/>
  <c r="J162" i="4" s="1"/>
  <c r="I163" i="4"/>
  <c r="J163" i="4" a="1"/>
  <c r="J163" i="4" s="1"/>
  <c r="I164" i="4"/>
  <c r="J164" i="4" a="1"/>
  <c r="J164" i="4" s="1"/>
  <c r="I165" i="4"/>
  <c r="J165" i="4" a="1"/>
  <c r="J165" i="4" s="1"/>
  <c r="I166" i="4"/>
  <c r="J166" i="4" a="1"/>
  <c r="J166" i="4" s="1"/>
  <c r="I167" i="4"/>
  <c r="J167" i="4" a="1"/>
  <c r="J167" i="4" s="1"/>
  <c r="I168" i="4"/>
  <c r="J168" i="4" a="1"/>
  <c r="J168" i="4" s="1"/>
  <c r="I169" i="4"/>
  <c r="J169" i="4" a="1"/>
  <c r="J169" i="4" s="1"/>
  <c r="I170" i="4"/>
  <c r="J170" i="4" a="1"/>
  <c r="J170" i="4" s="1"/>
  <c r="I171" i="4"/>
  <c r="J171" i="4" a="1"/>
  <c r="J171" i="4" s="1"/>
  <c r="I172" i="4"/>
  <c r="J172" i="4" a="1"/>
  <c r="J172" i="4" s="1"/>
  <c r="I173" i="4"/>
  <c r="J173" i="4" a="1"/>
  <c r="J173" i="4" s="1"/>
  <c r="I174" i="4"/>
  <c r="J174" i="4" a="1"/>
  <c r="J174" i="4" s="1"/>
  <c r="I175" i="4"/>
  <c r="J175" i="4" a="1"/>
  <c r="J175" i="4" s="1"/>
  <c r="I176" i="4"/>
  <c r="J176" i="4" a="1"/>
  <c r="J176" i="4" s="1"/>
  <c r="I177" i="4"/>
  <c r="J177" i="4" a="1"/>
  <c r="J177" i="4" s="1"/>
  <c r="I178" i="4"/>
  <c r="J178" i="4" a="1"/>
  <c r="J178" i="4" s="1"/>
  <c r="I179" i="4"/>
  <c r="J179" i="4" a="1"/>
  <c r="J179" i="4" s="1"/>
  <c r="I180" i="4"/>
  <c r="J180" i="4" a="1"/>
  <c r="J180" i="4" s="1"/>
  <c r="I181" i="4"/>
  <c r="J181" i="4" a="1"/>
  <c r="J181" i="4" s="1"/>
  <c r="I182" i="4"/>
  <c r="J182" i="4" a="1"/>
  <c r="J182" i="4" s="1"/>
  <c r="I183" i="4"/>
  <c r="J183" i="4" a="1"/>
  <c r="J183" i="4" s="1"/>
  <c r="I184" i="4"/>
  <c r="J184" i="4" a="1"/>
  <c r="J184" i="4" s="1"/>
  <c r="I185" i="4"/>
  <c r="J185" i="4" a="1"/>
  <c r="J185" i="4" s="1"/>
  <c r="I186" i="4"/>
  <c r="J186" i="4" a="1"/>
  <c r="J186" i="4"/>
  <c r="I187" i="4"/>
  <c r="J187" i="4" a="1"/>
  <c r="J187" i="4" s="1"/>
  <c r="I188" i="4"/>
  <c r="J188" i="4" a="1"/>
  <c r="J188" i="4" s="1"/>
  <c r="I189" i="4"/>
  <c r="J189" i="4" a="1"/>
  <c r="J189" i="4" s="1"/>
  <c r="I190" i="4"/>
  <c r="J190" i="4" a="1"/>
  <c r="J190" i="4" s="1"/>
  <c r="I191" i="4"/>
  <c r="J191" i="4" a="1"/>
  <c r="J191" i="4" s="1"/>
  <c r="I192" i="4"/>
  <c r="J192" i="4" a="1"/>
  <c r="J192" i="4" s="1"/>
  <c r="I193" i="4"/>
  <c r="J193" i="4" a="1"/>
  <c r="J193" i="4" s="1"/>
  <c r="I194" i="4"/>
  <c r="J194" i="4" a="1"/>
  <c r="J194" i="4" s="1"/>
  <c r="I195" i="4"/>
  <c r="J195" i="4" a="1"/>
  <c r="J195" i="4" s="1"/>
  <c r="I196" i="4"/>
  <c r="J196" i="4" a="1"/>
  <c r="J196" i="4" s="1"/>
  <c r="I197" i="4"/>
  <c r="J197" i="4" a="1"/>
  <c r="J197" i="4" s="1"/>
  <c r="I198" i="4"/>
  <c r="J198" i="4" a="1"/>
  <c r="J198" i="4" s="1"/>
  <c r="I199" i="4"/>
  <c r="J199" i="4" a="1"/>
  <c r="J199" i="4" s="1"/>
  <c r="I200" i="4"/>
  <c r="J200" i="4" a="1"/>
  <c r="J200" i="4" s="1"/>
  <c r="I201" i="4"/>
  <c r="J201" i="4" a="1"/>
  <c r="J201" i="4" s="1"/>
  <c r="I202" i="4"/>
  <c r="J202" i="4" a="1"/>
  <c r="J202" i="4" s="1"/>
  <c r="I203" i="4"/>
  <c r="J203" i="4" a="1"/>
  <c r="J203" i="4" s="1"/>
  <c r="I204" i="4"/>
  <c r="J204" i="4" a="1"/>
  <c r="J204" i="4" s="1"/>
  <c r="I205" i="4"/>
  <c r="J205" i="4" a="1"/>
  <c r="J205" i="4" s="1"/>
  <c r="I206" i="4"/>
  <c r="J206" i="4" a="1"/>
  <c r="J206" i="4" s="1"/>
  <c r="I207" i="4"/>
  <c r="J207" i="4" a="1"/>
  <c r="J207" i="4" s="1"/>
  <c r="I208" i="4"/>
  <c r="J208" i="4" a="1"/>
  <c r="J208" i="4" s="1"/>
  <c r="I209" i="4"/>
  <c r="J209" i="4" a="1"/>
  <c r="J209" i="4" s="1"/>
  <c r="I210" i="4"/>
  <c r="J210" i="4" a="1"/>
  <c r="J210" i="4" s="1"/>
  <c r="I211" i="4"/>
  <c r="J211" i="4" a="1"/>
  <c r="J211" i="4" s="1"/>
  <c r="I212" i="4"/>
  <c r="J212" i="4" a="1"/>
  <c r="J212" i="4" s="1"/>
  <c r="I213" i="4"/>
  <c r="J213" i="4" a="1"/>
  <c r="J213" i="4" s="1"/>
  <c r="I214" i="4"/>
  <c r="J214" i="4" a="1"/>
  <c r="J214" i="4" s="1"/>
  <c r="I215" i="4"/>
  <c r="J215" i="4" a="1"/>
  <c r="J215" i="4" s="1"/>
  <c r="I216" i="4"/>
  <c r="J216" i="4" a="1"/>
  <c r="J216" i="4" s="1"/>
  <c r="I217" i="4"/>
  <c r="J217" i="4" a="1"/>
  <c r="J217" i="4" s="1"/>
  <c r="I218" i="4"/>
  <c r="J218" i="4" a="1"/>
  <c r="J218" i="4" s="1"/>
  <c r="I219" i="4"/>
  <c r="J219" i="4" a="1"/>
  <c r="J219" i="4" s="1"/>
  <c r="I220" i="4"/>
  <c r="J220" i="4" a="1"/>
  <c r="J220" i="4" s="1"/>
  <c r="I221" i="4"/>
  <c r="J221" i="4" a="1"/>
  <c r="J221" i="4" s="1"/>
  <c r="I222" i="4"/>
  <c r="J222" i="4" a="1"/>
  <c r="J222" i="4" s="1"/>
  <c r="I223" i="4"/>
  <c r="J223" i="4" a="1"/>
  <c r="J223" i="4" s="1"/>
  <c r="I224" i="4"/>
  <c r="J224" i="4" a="1"/>
  <c r="J224" i="4" s="1"/>
  <c r="I225" i="4"/>
  <c r="J225" i="4" a="1"/>
  <c r="J225" i="4" s="1"/>
  <c r="I226" i="4"/>
  <c r="J226" i="4" a="1"/>
  <c r="J226" i="4" s="1"/>
  <c r="I227" i="4"/>
  <c r="J227" i="4" a="1"/>
  <c r="J227" i="4" s="1"/>
  <c r="I228" i="4"/>
  <c r="J228" i="4" a="1"/>
  <c r="J228" i="4" s="1"/>
  <c r="I229" i="4"/>
  <c r="J229" i="4" a="1"/>
  <c r="J229" i="4" s="1"/>
  <c r="I230" i="4"/>
  <c r="J230" i="4" a="1"/>
  <c r="J230" i="4" s="1"/>
  <c r="I231" i="4"/>
  <c r="J231" i="4" a="1"/>
  <c r="J231" i="4" s="1"/>
  <c r="I232" i="4"/>
  <c r="J232" i="4" a="1"/>
  <c r="J232" i="4" s="1"/>
  <c r="I233" i="4"/>
  <c r="J233" i="4" a="1"/>
  <c r="J233" i="4" s="1"/>
  <c r="I234" i="4"/>
  <c r="J234" i="4" a="1"/>
  <c r="J234" i="4" s="1"/>
  <c r="I235" i="4"/>
  <c r="J235" i="4" a="1"/>
  <c r="J235" i="4" s="1"/>
  <c r="I236" i="4"/>
  <c r="J236" i="4" a="1"/>
  <c r="J236" i="4" s="1"/>
  <c r="I237" i="4"/>
  <c r="J237" i="4" a="1"/>
  <c r="J237" i="4" s="1"/>
  <c r="I238" i="4"/>
  <c r="J238" i="4" a="1"/>
  <c r="J238" i="4" s="1"/>
  <c r="I239" i="4"/>
  <c r="J239" i="4" a="1"/>
  <c r="J239" i="4" s="1"/>
  <c r="I240" i="4"/>
  <c r="J240" i="4" a="1"/>
  <c r="J240" i="4" s="1"/>
  <c r="I241" i="4"/>
  <c r="J241" i="4" a="1"/>
  <c r="J241" i="4" s="1"/>
  <c r="I242" i="4"/>
  <c r="J242" i="4" a="1"/>
  <c r="J242" i="4" s="1"/>
  <c r="I243" i="4"/>
  <c r="J243" i="4" a="1"/>
  <c r="J243" i="4" s="1"/>
  <c r="I244" i="4"/>
  <c r="J244" i="4" a="1"/>
  <c r="J244" i="4" s="1"/>
  <c r="I245" i="4"/>
  <c r="J245" i="4" a="1"/>
  <c r="J245" i="4" s="1"/>
  <c r="I246" i="4"/>
  <c r="J246" i="4" a="1"/>
  <c r="J246" i="4" s="1"/>
  <c r="I247" i="4"/>
  <c r="J247" i="4" a="1"/>
  <c r="J247" i="4" s="1"/>
  <c r="I248" i="4"/>
  <c r="J248" i="4" a="1"/>
  <c r="J248" i="4" s="1"/>
  <c r="I249" i="4"/>
  <c r="J249" i="4" a="1"/>
  <c r="J249" i="4" s="1"/>
  <c r="I250" i="4"/>
  <c r="J250" i="4" a="1"/>
  <c r="J250" i="4" s="1"/>
  <c r="I251" i="4"/>
  <c r="J251" i="4" a="1"/>
  <c r="J251" i="4" s="1"/>
  <c r="I252" i="4"/>
  <c r="J252" i="4" a="1"/>
  <c r="J252" i="4" s="1"/>
  <c r="I253" i="4"/>
  <c r="J253" i="4" a="1"/>
  <c r="J253" i="4" s="1"/>
  <c r="I254" i="4"/>
  <c r="J254" i="4" a="1"/>
  <c r="J254" i="4" s="1"/>
  <c r="I255" i="4"/>
  <c r="J255" i="4" a="1"/>
  <c r="J255" i="4" s="1"/>
  <c r="I256" i="4"/>
  <c r="J256" i="4" a="1"/>
  <c r="J256" i="4" s="1"/>
  <c r="I257" i="4"/>
  <c r="J257" i="4" a="1"/>
  <c r="J257" i="4" s="1"/>
  <c r="I258" i="4"/>
  <c r="J258" i="4" a="1"/>
  <c r="J258" i="4" s="1"/>
  <c r="I259" i="4"/>
  <c r="J259" i="4" a="1"/>
  <c r="J259" i="4" s="1"/>
  <c r="I260" i="4"/>
  <c r="J260" i="4" a="1"/>
  <c r="J260" i="4" s="1"/>
  <c r="I261" i="4"/>
  <c r="J261" i="4" a="1"/>
  <c r="J261" i="4" s="1"/>
  <c r="I262" i="4"/>
  <c r="J262" i="4" a="1"/>
  <c r="J262" i="4" s="1"/>
  <c r="I263" i="4"/>
  <c r="J263" i="4" a="1"/>
  <c r="J263" i="4" s="1"/>
  <c r="I264" i="4"/>
  <c r="J264" i="4" a="1"/>
  <c r="J264" i="4" s="1"/>
  <c r="I265" i="4"/>
  <c r="J265" i="4" a="1"/>
  <c r="J265" i="4" s="1"/>
  <c r="I266" i="4"/>
  <c r="J266" i="4" a="1"/>
  <c r="J266" i="4" s="1"/>
  <c r="I267" i="4"/>
  <c r="J267" i="4" a="1"/>
  <c r="J267" i="4" s="1"/>
  <c r="I268" i="4"/>
  <c r="J268" i="4" a="1"/>
  <c r="J268" i="4" s="1"/>
  <c r="I269" i="4"/>
  <c r="J269" i="4" a="1"/>
  <c r="J269" i="4" s="1"/>
  <c r="I270" i="4"/>
  <c r="J270" i="4" a="1"/>
  <c r="J270" i="4" s="1"/>
  <c r="I271" i="4"/>
  <c r="J271" i="4" a="1"/>
  <c r="J271" i="4" s="1"/>
  <c r="I272" i="4"/>
  <c r="J272" i="4" a="1"/>
  <c r="J272" i="4" s="1"/>
  <c r="I273" i="4"/>
  <c r="J273" i="4" a="1"/>
  <c r="J273" i="4" s="1"/>
  <c r="I274" i="4"/>
  <c r="J274" i="4" a="1"/>
  <c r="J274" i="4" s="1"/>
  <c r="I275" i="4"/>
  <c r="J275" i="4" a="1"/>
  <c r="J275" i="4" s="1"/>
  <c r="I276" i="4"/>
  <c r="J276" i="4" a="1"/>
  <c r="J276" i="4" s="1"/>
  <c r="I277" i="4"/>
  <c r="J277" i="4" a="1"/>
  <c r="J277" i="4" s="1"/>
  <c r="I278" i="4"/>
  <c r="J278" i="4" a="1"/>
  <c r="J278" i="4" s="1"/>
  <c r="I279" i="4"/>
  <c r="J279" i="4" a="1"/>
  <c r="J279" i="4" s="1"/>
  <c r="I280" i="4"/>
  <c r="J280" i="4" a="1"/>
  <c r="J280" i="4" s="1"/>
  <c r="I281" i="4"/>
  <c r="J281" i="4" a="1"/>
  <c r="J281" i="4" s="1"/>
  <c r="I282" i="4"/>
  <c r="J282" i="4" a="1"/>
  <c r="J282" i="4" s="1"/>
  <c r="I283" i="4"/>
  <c r="J283" i="4" a="1"/>
  <c r="J283" i="4" s="1"/>
  <c r="I284" i="4"/>
  <c r="J284" i="4" a="1"/>
  <c r="J284" i="4" s="1"/>
  <c r="I285" i="4"/>
  <c r="J285" i="4" a="1"/>
  <c r="J285" i="4" s="1"/>
  <c r="I286" i="4"/>
  <c r="J286" i="4" a="1"/>
  <c r="J286" i="4" s="1"/>
  <c r="I287" i="4"/>
  <c r="J287" i="4" a="1"/>
  <c r="J287" i="4" s="1"/>
  <c r="I288" i="4"/>
  <c r="J288" i="4" a="1"/>
  <c r="J288" i="4" s="1"/>
  <c r="I289" i="4"/>
  <c r="J289" i="4" a="1"/>
  <c r="J289" i="4" s="1"/>
  <c r="I290" i="4"/>
  <c r="J290" i="4" a="1"/>
  <c r="J290" i="4" s="1"/>
  <c r="I291" i="4"/>
  <c r="J291" i="4" a="1"/>
  <c r="J291" i="4" s="1"/>
  <c r="I292" i="4"/>
  <c r="J292" i="4" a="1"/>
  <c r="J292" i="4" s="1"/>
  <c r="I293" i="4"/>
  <c r="J293" i="4" a="1"/>
  <c r="J293" i="4" s="1"/>
  <c r="I294" i="4"/>
  <c r="J294" i="4" a="1"/>
  <c r="J294" i="4" s="1"/>
  <c r="I295" i="4"/>
  <c r="J295" i="4" a="1"/>
  <c r="J295" i="4" s="1"/>
  <c r="I296" i="4"/>
  <c r="J296" i="4" a="1"/>
  <c r="J296" i="4" s="1"/>
  <c r="I297" i="4"/>
  <c r="J297" i="4" a="1"/>
  <c r="J297" i="4" s="1"/>
  <c r="I298" i="4"/>
  <c r="J298" i="4" a="1"/>
  <c r="J298" i="4" s="1"/>
  <c r="I299" i="4"/>
  <c r="J299" i="4" a="1"/>
  <c r="J299" i="4" s="1"/>
  <c r="I300" i="4"/>
  <c r="J300" i="4" a="1"/>
  <c r="J300" i="4" s="1"/>
  <c r="I301" i="4"/>
  <c r="J301" i="4" a="1"/>
  <c r="J301" i="4" s="1"/>
  <c r="I302" i="4"/>
  <c r="J302" i="4" a="1"/>
  <c r="J302" i="4" s="1"/>
  <c r="I303" i="4"/>
  <c r="J303" i="4" a="1"/>
  <c r="J303" i="4" s="1"/>
  <c r="I304" i="4"/>
  <c r="J304" i="4" a="1"/>
  <c r="J304" i="4" s="1"/>
  <c r="I305" i="4"/>
  <c r="J305" i="4" a="1"/>
  <c r="J305" i="4" s="1"/>
  <c r="I306" i="4"/>
  <c r="J306" i="4" a="1"/>
  <c r="J306" i="4" s="1"/>
  <c r="I307" i="4"/>
  <c r="J307" i="4" a="1"/>
  <c r="J307" i="4" s="1"/>
  <c r="I308" i="4"/>
  <c r="J308" i="4" a="1"/>
  <c r="J308" i="4" s="1"/>
  <c r="I309" i="4"/>
  <c r="J309" i="4" a="1"/>
  <c r="J309" i="4" s="1"/>
  <c r="I310" i="4"/>
  <c r="J310" i="4" a="1"/>
  <c r="J310" i="4" s="1"/>
  <c r="I311" i="4"/>
  <c r="J311" i="4" a="1"/>
  <c r="J311" i="4" s="1"/>
  <c r="I312" i="4"/>
  <c r="J312" i="4" a="1"/>
  <c r="J312" i="4" s="1"/>
  <c r="I313" i="4"/>
  <c r="J313" i="4" a="1"/>
  <c r="J313" i="4" s="1"/>
  <c r="I314" i="4"/>
  <c r="J314" i="4" a="1"/>
  <c r="J314" i="4" s="1"/>
  <c r="I315" i="4"/>
  <c r="J315" i="4" a="1"/>
  <c r="J315" i="4" s="1"/>
  <c r="I316" i="4"/>
  <c r="J316" i="4" a="1"/>
  <c r="J316" i="4" s="1"/>
  <c r="I317" i="4"/>
  <c r="J317" i="4" a="1"/>
  <c r="J317" i="4" s="1"/>
  <c r="I318" i="4"/>
  <c r="J318" i="4" a="1"/>
  <c r="J318" i="4" s="1"/>
  <c r="I319" i="4"/>
  <c r="J319" i="4" a="1"/>
  <c r="J319" i="4" s="1"/>
  <c r="I320" i="4"/>
  <c r="J320" i="4" a="1"/>
  <c r="J320" i="4" s="1"/>
  <c r="I321" i="4"/>
  <c r="J321" i="4" a="1"/>
  <c r="J321" i="4" s="1"/>
  <c r="I322" i="4"/>
  <c r="J322" i="4" a="1"/>
  <c r="J322" i="4" s="1"/>
  <c r="I323" i="4"/>
  <c r="J323" i="4" a="1"/>
  <c r="J323" i="4" s="1"/>
  <c r="I324" i="4"/>
  <c r="J324" i="4" a="1"/>
  <c r="J324" i="4" s="1"/>
  <c r="I325" i="4"/>
  <c r="J325" i="4" a="1"/>
  <c r="J325" i="4" s="1"/>
  <c r="I326" i="4"/>
  <c r="J326" i="4" a="1"/>
  <c r="J326" i="4" s="1"/>
  <c r="I327" i="4"/>
  <c r="J327" i="4" a="1"/>
  <c r="J327" i="4" s="1"/>
  <c r="I328" i="4"/>
  <c r="J328" i="4" a="1"/>
  <c r="J328" i="4" s="1"/>
  <c r="I329" i="4"/>
  <c r="J329" i="4" a="1"/>
  <c r="J329" i="4" s="1"/>
  <c r="I330" i="4"/>
  <c r="J330" i="4" a="1"/>
  <c r="J330" i="4" s="1"/>
  <c r="I331" i="4"/>
  <c r="J331" i="4" a="1"/>
  <c r="J331" i="4" s="1"/>
  <c r="I332" i="4"/>
  <c r="J332" i="4" a="1"/>
  <c r="J332" i="4" s="1"/>
  <c r="I333" i="4"/>
  <c r="J333" i="4" a="1"/>
  <c r="J333" i="4" s="1"/>
  <c r="I334" i="4"/>
  <c r="J334" i="4" a="1"/>
  <c r="J334" i="4" s="1"/>
  <c r="I335" i="4"/>
  <c r="J335" i="4" a="1"/>
  <c r="J335" i="4" s="1"/>
  <c r="I336" i="4"/>
  <c r="J336" i="4" a="1"/>
  <c r="J336" i="4" s="1"/>
  <c r="I337" i="4"/>
  <c r="J337" i="4" a="1"/>
  <c r="J337" i="4" s="1"/>
  <c r="I338" i="4"/>
  <c r="J338" i="4" a="1"/>
  <c r="J338" i="4" s="1"/>
  <c r="I339" i="4"/>
  <c r="J339" i="4" a="1"/>
  <c r="J339" i="4" s="1"/>
  <c r="I340" i="4"/>
  <c r="J340" i="4" a="1"/>
  <c r="J340" i="4" s="1"/>
  <c r="I341" i="4"/>
  <c r="J341" i="4" a="1"/>
  <c r="J341" i="4" s="1"/>
  <c r="I342" i="4"/>
  <c r="J342" i="4" a="1"/>
  <c r="J342" i="4" s="1"/>
  <c r="I343" i="4"/>
  <c r="J343" i="4" a="1"/>
  <c r="J343" i="4" s="1"/>
  <c r="I344" i="4"/>
  <c r="J344" i="4" a="1"/>
  <c r="J344" i="4" s="1"/>
  <c r="I345" i="4"/>
  <c r="J345" i="4" a="1"/>
  <c r="J345" i="4" s="1"/>
  <c r="I346" i="4"/>
  <c r="J346" i="4" a="1"/>
  <c r="J346" i="4" s="1"/>
  <c r="I347" i="4"/>
  <c r="J347" i="4" a="1"/>
  <c r="J347" i="4" s="1"/>
  <c r="I348" i="4"/>
  <c r="J348" i="4" a="1"/>
  <c r="J348" i="4" s="1"/>
  <c r="I349" i="4"/>
  <c r="J349" i="4" a="1"/>
  <c r="J349" i="4" s="1"/>
  <c r="I350" i="4"/>
  <c r="J350" i="4" a="1"/>
  <c r="J350" i="4" s="1"/>
  <c r="I351" i="4"/>
  <c r="J351" i="4" a="1"/>
  <c r="J351" i="4" s="1"/>
  <c r="I352" i="4"/>
  <c r="J352" i="4" a="1"/>
  <c r="J352" i="4" s="1"/>
  <c r="I353" i="4"/>
  <c r="J353" i="4" a="1"/>
  <c r="J353" i="4" s="1"/>
  <c r="I354" i="4"/>
  <c r="J354" i="4" a="1"/>
  <c r="J354" i="4" s="1"/>
  <c r="I355" i="4"/>
  <c r="J355" i="4" a="1"/>
  <c r="J355" i="4" s="1"/>
  <c r="I356" i="4"/>
  <c r="J356" i="4" a="1"/>
  <c r="J356" i="4" s="1"/>
  <c r="I357" i="4"/>
  <c r="J357" i="4" a="1"/>
  <c r="J357" i="4" s="1"/>
  <c r="I358" i="4"/>
  <c r="J358" i="4" a="1"/>
  <c r="J358" i="4" s="1"/>
  <c r="I359" i="4"/>
  <c r="J359" i="4" a="1"/>
  <c r="J359" i="4" s="1"/>
  <c r="I360" i="4"/>
  <c r="J360" i="4" a="1"/>
  <c r="J360" i="4" s="1"/>
  <c r="I361" i="4"/>
  <c r="J361" i="4" a="1"/>
  <c r="J361" i="4" s="1"/>
  <c r="I362" i="4"/>
  <c r="J362" i="4" a="1"/>
  <c r="J362" i="4" s="1"/>
  <c r="I363" i="4"/>
  <c r="J363" i="4" a="1"/>
  <c r="J363" i="4" s="1"/>
  <c r="I364" i="4"/>
  <c r="J364" i="4" a="1"/>
  <c r="J364" i="4" s="1"/>
  <c r="I365" i="4"/>
  <c r="J365" i="4" a="1"/>
  <c r="J365" i="4" s="1"/>
  <c r="I366" i="4"/>
  <c r="J366" i="4" a="1"/>
  <c r="J366" i="4" s="1"/>
  <c r="I367" i="4"/>
  <c r="J367" i="4" a="1"/>
  <c r="J367" i="4" s="1"/>
  <c r="I368" i="4"/>
  <c r="J368" i="4" a="1"/>
  <c r="J368" i="4" s="1"/>
  <c r="I369" i="4"/>
  <c r="J369" i="4" a="1"/>
  <c r="J369" i="4" s="1"/>
  <c r="I370" i="4"/>
  <c r="J370" i="4" a="1"/>
  <c r="J370" i="4" s="1"/>
  <c r="I371" i="4"/>
  <c r="J371" i="4" a="1"/>
  <c r="J371" i="4" s="1"/>
  <c r="I372" i="4"/>
  <c r="J372" i="4" a="1"/>
  <c r="J372" i="4" s="1"/>
  <c r="I373" i="4"/>
  <c r="J373" i="4" a="1"/>
  <c r="J373" i="4" s="1"/>
  <c r="I374" i="4"/>
  <c r="J374" i="4" a="1"/>
  <c r="J374" i="4" s="1"/>
  <c r="I375" i="4"/>
  <c r="J375" i="4" a="1"/>
  <c r="J375" i="4" s="1"/>
  <c r="I376" i="4"/>
  <c r="J376" i="4" a="1"/>
  <c r="J376" i="4" s="1"/>
  <c r="I377" i="4"/>
  <c r="J377" i="4" a="1"/>
  <c r="J377" i="4" s="1"/>
  <c r="I378" i="4"/>
  <c r="J378" i="4" a="1"/>
  <c r="J378" i="4" s="1"/>
  <c r="I379" i="4"/>
  <c r="J379" i="4" a="1"/>
  <c r="J379" i="4" s="1"/>
  <c r="I380" i="4"/>
  <c r="J380" i="4" a="1"/>
  <c r="J380" i="4" s="1"/>
  <c r="I381" i="4"/>
  <c r="J381" i="4" a="1"/>
  <c r="J381" i="4" s="1"/>
  <c r="I382" i="4"/>
  <c r="J382" i="4" a="1"/>
  <c r="J382" i="4" s="1"/>
  <c r="I383" i="4"/>
  <c r="J383" i="4" a="1"/>
  <c r="J383" i="4" s="1"/>
  <c r="I384" i="4"/>
  <c r="J384" i="4" a="1"/>
  <c r="J384" i="4" s="1"/>
  <c r="I385" i="4"/>
  <c r="J385" i="4" a="1"/>
  <c r="J385" i="4" s="1"/>
  <c r="I386" i="4"/>
  <c r="J386" i="4" a="1"/>
  <c r="J386" i="4" s="1"/>
  <c r="I387" i="4"/>
  <c r="J387" i="4" a="1"/>
  <c r="J387" i="4" s="1"/>
  <c r="I388" i="4"/>
  <c r="J388" i="4" a="1"/>
  <c r="J388" i="4" s="1"/>
  <c r="I389" i="4"/>
  <c r="J389" i="4" a="1"/>
  <c r="J389" i="4" s="1"/>
  <c r="I390" i="4"/>
  <c r="J390" i="4" a="1"/>
  <c r="J390" i="4" s="1"/>
  <c r="I391" i="4"/>
  <c r="J391" i="4" a="1"/>
  <c r="J391" i="4" s="1"/>
  <c r="I392" i="4"/>
  <c r="J392" i="4" a="1"/>
  <c r="J392" i="4" s="1"/>
  <c r="I393" i="4"/>
  <c r="J393" i="4" a="1"/>
  <c r="J393" i="4" s="1"/>
  <c r="I394" i="4"/>
  <c r="J394" i="4" a="1"/>
  <c r="J394" i="4" s="1"/>
  <c r="I395" i="4"/>
  <c r="J395" i="4" a="1"/>
  <c r="J395" i="4" s="1"/>
  <c r="I396" i="4"/>
  <c r="J396" i="4" a="1"/>
  <c r="J396" i="4" s="1"/>
  <c r="I397" i="4"/>
  <c r="J397" i="4" a="1"/>
  <c r="J397" i="4" s="1"/>
  <c r="I398" i="4"/>
  <c r="J398" i="4" a="1"/>
  <c r="J398" i="4" s="1"/>
  <c r="I399" i="4"/>
  <c r="J399" i="4" a="1"/>
  <c r="J399" i="4" s="1"/>
  <c r="I400" i="4"/>
  <c r="J400" i="4" a="1"/>
  <c r="J400" i="4" s="1"/>
  <c r="I401" i="4"/>
  <c r="J401" i="4" a="1"/>
  <c r="J401" i="4" s="1"/>
  <c r="I402" i="4"/>
  <c r="J402" i="4" a="1"/>
  <c r="J402" i="4" s="1"/>
  <c r="I403" i="4"/>
  <c r="J403" i="4" a="1"/>
  <c r="J403" i="4" s="1"/>
  <c r="I404" i="4"/>
  <c r="J404" i="4" a="1"/>
  <c r="J404" i="4" s="1"/>
  <c r="I405" i="4"/>
  <c r="J405" i="4" a="1"/>
  <c r="J405" i="4" s="1"/>
  <c r="I406" i="4"/>
  <c r="J406" i="4" a="1"/>
  <c r="J406" i="4" s="1"/>
  <c r="I407" i="4"/>
  <c r="J407" i="4" a="1"/>
  <c r="J407" i="4" s="1"/>
  <c r="I408" i="4"/>
  <c r="J408" i="4" a="1"/>
  <c r="J408" i="4" s="1"/>
  <c r="I409" i="4"/>
  <c r="J409" i="4" a="1"/>
  <c r="J409" i="4" s="1"/>
  <c r="I410" i="4"/>
  <c r="J410" i="4" a="1"/>
  <c r="J410" i="4" s="1"/>
  <c r="I411" i="4"/>
  <c r="J411" i="4" a="1"/>
  <c r="J411" i="4" s="1"/>
  <c r="I412" i="4"/>
  <c r="J412" i="4" a="1"/>
  <c r="J412" i="4" s="1"/>
  <c r="I413" i="4"/>
  <c r="J413" i="4" a="1"/>
  <c r="J413" i="4" s="1"/>
  <c r="I414" i="4"/>
  <c r="J414" i="4" a="1"/>
  <c r="J414" i="4" s="1"/>
  <c r="I415" i="4"/>
  <c r="J415" i="4" a="1"/>
  <c r="J415" i="4" s="1"/>
  <c r="I416" i="4"/>
  <c r="J416" i="4" a="1"/>
  <c r="J416" i="4" s="1"/>
  <c r="I417" i="4"/>
  <c r="J417" i="4" a="1"/>
  <c r="J417" i="4" s="1"/>
  <c r="I418" i="4"/>
  <c r="J418" i="4" a="1"/>
  <c r="J418" i="4" s="1"/>
  <c r="I419" i="4"/>
  <c r="J419" i="4" a="1"/>
  <c r="J419" i="4" s="1"/>
  <c r="I420" i="4"/>
  <c r="J420" i="4" a="1"/>
  <c r="J420" i="4" s="1"/>
  <c r="J2" i="4" a="1"/>
  <c r="J2" i="4" s="1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73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2" i="4"/>
  <c r="D413" i="4"/>
  <c r="D414" i="4"/>
  <c r="D415" i="4"/>
  <c r="D416" i="4"/>
  <c r="D417" i="4"/>
  <c r="D418" i="4"/>
  <c r="D419" i="4"/>
  <c r="D420" i="4"/>
  <c r="D2" i="4"/>
  <c r="E3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2" i="1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395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<sst xmlns="http://schemas.openxmlformats.org/spreadsheetml/2006/main" count="7763" uniqueCount="1711">
  <si>
    <t>No</t>
  </si>
  <si>
    <t>Nombre</t>
  </si>
  <si>
    <t>Codigo</t>
  </si>
  <si>
    <t>BOLOMBOLO [26207080]</t>
  </si>
  <si>
    <t>SANTA BARBARA - AUT [26185050]</t>
  </si>
  <si>
    <t>PARAMO BELMIRA - AUT [27015280]</t>
  </si>
  <si>
    <t>PALMIRA HACIENDA  - AUT [26247010]</t>
  </si>
  <si>
    <t>GRANJA EXPERIMENTAL EL NUS  - AUT [23085080]</t>
  </si>
  <si>
    <t>EL SIETE - AUT [11027030]</t>
  </si>
  <si>
    <t>PUENTE REAL  - AUT [23087150]</t>
  </si>
  <si>
    <t>BRISAS DEL NECHI  - AUT [27027060]</t>
  </si>
  <si>
    <t>QUIBDO - AUT [11047020]</t>
  </si>
  <si>
    <t>ANGOSTURA - AUT   [2702500107]</t>
  </si>
  <si>
    <t>ABRIAQUI - AUT   [1111500036]</t>
  </si>
  <si>
    <t>LA COQUERA - AUT [26247020]</t>
  </si>
  <si>
    <t>DABEIBA 2  - AUT [11117050]</t>
  </si>
  <si>
    <t>SANTA ISABEL VALDIVIA - AUT [26255030]</t>
  </si>
  <si>
    <t>CAMPO ALEGRE [1111500203]</t>
  </si>
  <si>
    <t>LLORO [11035010]</t>
  </si>
  <si>
    <t>MACEO - AUT [23105070]</t>
  </si>
  <si>
    <t>SONSON [26180180]</t>
  </si>
  <si>
    <t>ARAGON - AUT [27015320]</t>
  </si>
  <si>
    <t>MARGENTO  - AUT [25027050]</t>
  </si>
  <si>
    <t>SAN ANTONIO PADUA  - AUT [11057020]</t>
  </si>
  <si>
    <t>LA SELVA - AUT [23085260]</t>
  </si>
  <si>
    <t>HACIENDA COTOVE - AUT [26225060]</t>
  </si>
  <si>
    <t>METROMEDELLIN - AUT [27015310]</t>
  </si>
  <si>
    <t>LA GALERA - AUT [26217010]</t>
  </si>
  <si>
    <t>MONTELIBANO - AUT [25017010]</t>
  </si>
  <si>
    <t>SAN PEDRO - AUT [25017020]</t>
  </si>
  <si>
    <t>REPELON - AUT [29035200]</t>
  </si>
  <si>
    <t>EL GUAMO - AUT [29015000]</t>
  </si>
  <si>
    <t>MONTERIA  - AUT [13067020]</t>
  </si>
  <si>
    <t>PICA PICA  - AUT [25017030]</t>
  </si>
  <si>
    <t>PLANETA RICA  - AUT [25025190]</t>
  </si>
  <si>
    <t>CANO BARRO - AUT [13027040]</t>
  </si>
  <si>
    <t>REMOLINO - MAG - AUT   [2904700095]</t>
  </si>
  <si>
    <t>UNIVERSIDAD UNAD CARTAGENA - AUT   [1206500136]</t>
  </si>
  <si>
    <t>SAHAGUN [25020140]</t>
  </si>
  <si>
    <t>COTOCA ABAJO  - AUT [13077060]</t>
  </si>
  <si>
    <t>CRISTO REY  - AUT [12045020]</t>
  </si>
  <si>
    <t>GUAJARO EMBALSE AUT [12067001]</t>
  </si>
  <si>
    <t>NORMAL MANATI  - AUT [29035080]</t>
  </si>
  <si>
    <t>ESCUELA NAVAL CIOH - AUT [14019030]</t>
  </si>
  <si>
    <t>CARMEN DE BOLIVAR  - AUT [29015040]</t>
  </si>
  <si>
    <t>EL TESORO IDEAM  - AUT [25025280]</t>
  </si>
  <si>
    <t>SINCERIN  - AUT [29035000]</t>
  </si>
  <si>
    <t>ESCUELA NAVAL BARRANQUILLA  - AUT [29004520]</t>
  </si>
  <si>
    <t>LA LIBERTAD - AUT [35025110]</t>
  </si>
  <si>
    <t>PUENTE ABADIA - AUT [35037100]</t>
  </si>
  <si>
    <t>LEJANÍAS - AUT [3206500058]</t>
  </si>
  <si>
    <t>ICA VILLAVICENCIO  - AUT [35035100]</t>
  </si>
  <si>
    <t>MITU [42077020]</t>
  </si>
  <si>
    <t>PUENTE LLERAS - AUT  [35017020]</t>
  </si>
  <si>
    <t>VISTA HERMOSA - AUT [3206500059]</t>
  </si>
  <si>
    <t>CARIMAGUA - AUT [33035010]</t>
  </si>
  <si>
    <t>PUERTO ANGOSTURAS  - AUT [32067030]</t>
  </si>
  <si>
    <t>GRANADA SENA - AUT   [3206500045]</t>
  </si>
  <si>
    <t>SALINAS DE UPIN  - AUT [35035110]</t>
  </si>
  <si>
    <t>PUENTE CARRETERA  - AUT [35027140]</t>
  </si>
  <si>
    <t>SEVILLA - AUT [21015020]</t>
  </si>
  <si>
    <t>SUCRE - AUT   [4403700097]</t>
  </si>
  <si>
    <t>PAICOL - AUT [21057060]</t>
  </si>
  <si>
    <t>ALGECIRAS - AUT [21105030]</t>
  </si>
  <si>
    <t>PARQUE ARQUEOLOGICO - AUT [21015030]</t>
  </si>
  <si>
    <t>HACIENDA MANILA - AUT [21115180]</t>
  </si>
  <si>
    <t>FLORENCIA - AUT [44035040]</t>
  </si>
  <si>
    <t>SANTA ANA - AUT [21145080]</t>
  </si>
  <si>
    <t>VEGA EL SALADO  - AUT [21057050]</t>
  </si>
  <si>
    <t>CASCADA SIMON BOLIVAR  - AUT [21017030]</t>
  </si>
  <si>
    <t>MORELIA  - AUT [44037080]</t>
  </si>
  <si>
    <t>SANTA MARIA  - AUT [21127030]</t>
  </si>
  <si>
    <t>LA ESPERANZA - AUT [21097120]</t>
  </si>
  <si>
    <t>AEROPUERTO LAS FLORES  - AUT [25025360]</t>
  </si>
  <si>
    <t>LA GRAN VIA - AUT [29065130]</t>
  </si>
  <si>
    <t>UNIVERSIDAD TECNOLOGICA  - AUT [15015120]</t>
  </si>
  <si>
    <t>FEDEARROZ - AUT [28035060]</t>
  </si>
  <si>
    <t>BATALLON NO. 6 - AUT [29065120]</t>
  </si>
  <si>
    <t>MEDIA LUNA - AUT [29065000]</t>
  </si>
  <si>
    <t>PUENTE SALGUERO  - AUT [28037030]</t>
  </si>
  <si>
    <t>CARACOLI [2802500079]</t>
  </si>
  <si>
    <t>CURUMANÍ - AUT [2805500075]</t>
  </si>
  <si>
    <t>GANADERIA CARIBE  - AUT [29067150]</t>
  </si>
  <si>
    <t>COLEGIO AGROPECUARIO PAILITAS  - AUT [25025330]</t>
  </si>
  <si>
    <t>SANTA MARIA - AUT [35085070]</t>
  </si>
  <si>
    <t>ZETAQUIRA - AUT [35085060]</t>
  </si>
  <si>
    <t>LA CAPILLA - AUT [35085080]</t>
  </si>
  <si>
    <t>CHINAVITA - AUT [35075070]</t>
  </si>
  <si>
    <t>AQUITANIA - AUT [35095120]</t>
  </si>
  <si>
    <t>SOCHA - AUT [24035360]</t>
  </si>
  <si>
    <t>SOGAMOSO - AUT [24035410]</t>
  </si>
  <si>
    <t>EL ESPINO - AUT [24035370]</t>
  </si>
  <si>
    <t>CHITA  - AUT [24035250]</t>
  </si>
  <si>
    <t>VILLA DE LEIVA  - AUT [24015300]</t>
  </si>
  <si>
    <t>PUENTE YOPAL  - AUT [35217010]</t>
  </si>
  <si>
    <t>PUENTE CHACON  - AUT [24017740]</t>
  </si>
  <si>
    <t>UNIVERSIDAD PEDAGÓGICA Y TECNOLÓGICA DE COLOMBIA TUNJA - AUT [2401500086]</t>
  </si>
  <si>
    <t>PANELAS - AUT [2401500080]</t>
  </si>
  <si>
    <t>DUITAMA - AUT  [2403500041]</t>
  </si>
  <si>
    <t>SAN RAFAEL  - AUT [24037190]</t>
  </si>
  <si>
    <t>SAN SALVADOR - AUT   [3602700101]</t>
  </si>
  <si>
    <t>EL PALO - AUT [24037030]</t>
  </si>
  <si>
    <t>MANI - AUT   [3519700092]</t>
  </si>
  <si>
    <t>PUENTE CHAMEZA  - AUT [24037290]</t>
  </si>
  <si>
    <t>AEROPUERTO FURATENA  - AUT [23125140]</t>
  </si>
  <si>
    <t>MONIQUIRA  - AUT [24017600]</t>
  </si>
  <si>
    <t>VADO HONDO  - AUT [35197020]</t>
  </si>
  <si>
    <t>EL PARAISO - AUT [52055220]</t>
  </si>
  <si>
    <t>BOTANA - AUT [52055210]</t>
  </si>
  <si>
    <t>VIENTO LIBRE - AUT [52035040]</t>
  </si>
  <si>
    <t>TUMACO - AUT [51039010]</t>
  </si>
  <si>
    <t>UNIVERSIDAD DE NARINO  - AUT [52045080]</t>
  </si>
  <si>
    <t>LA SIERRA - AUT [52025090]</t>
  </si>
  <si>
    <t>BALBOA [52010020]</t>
  </si>
  <si>
    <t>LA FONDA - AUT [52017030]</t>
  </si>
  <si>
    <t>SAN PEDRO  - AUT [52057050]</t>
  </si>
  <si>
    <t>PUENTE LOS DOLORES - AUT  [5204700100]</t>
  </si>
  <si>
    <t>ESTRECHO PATIA  - AUT [52025080]</t>
  </si>
  <si>
    <t>LA JOSEFINA - AUT [52055170]</t>
  </si>
  <si>
    <t>ALTAQUER - AUT [51025080]</t>
  </si>
  <si>
    <t>LAS IGLESIAS  - AUT [5205500123]</t>
  </si>
  <si>
    <t>PIPIGUAY [51027050]</t>
  </si>
  <si>
    <t>PIEDRA LISA II  - AUT [44017120]</t>
  </si>
  <si>
    <t>ANDAQUI  - AUT [44017110]</t>
  </si>
  <si>
    <t>EL ENCANO - AUT [47015100]</t>
  </si>
  <si>
    <t>APONTE [52040050]</t>
  </si>
  <si>
    <t>PUENTE PUSMEO - AUT [52077010]</t>
  </si>
  <si>
    <t>CCCP DL PACIFICO [51035020]</t>
  </si>
  <si>
    <t>EL PEPINO - AUT [44015070]</t>
  </si>
  <si>
    <t>EL EDEN - AUT [47017070]</t>
  </si>
  <si>
    <t>MOGOTES - AUT [24025090]</t>
  </si>
  <si>
    <t>PUERTO ARAUJO - AUT [23127020]</t>
  </si>
  <si>
    <t>SAN  VICENTE DE CHUCURI  - AUT [24055070]</t>
  </si>
  <si>
    <t>VIZCAINA LA LIZAMA  - AUT [24055080]</t>
  </si>
  <si>
    <t>BERLIN - AUT [37015030]</t>
  </si>
  <si>
    <t>UNIVERSIDAD DE PAMPLONA  - AUT [16015120]</t>
  </si>
  <si>
    <t>GAMARRA - AUT [23217080]</t>
  </si>
  <si>
    <t>VIVERO SURATA  - AUT [23195090]</t>
  </si>
  <si>
    <t>LLANO GRANDE  - AUT [23195110]</t>
  </si>
  <si>
    <t>CINERA-VILLA OLGA AUT [16025040]</t>
  </si>
  <si>
    <t>CACHIRI  - AUT [23195200]</t>
  </si>
  <si>
    <t>SABANA DE TORRES [23180070]</t>
  </si>
  <si>
    <t>PUENTE NACIONAL - AUT [24017590]</t>
  </si>
  <si>
    <t>FLORIDABLANCA - AUT   [2319500043]</t>
  </si>
  <si>
    <t>PUENTE GUILLERMO - AUT  [2401500052]</t>
  </si>
  <si>
    <t>CHINACOTA - AUT   [3701500114]</t>
  </si>
  <si>
    <t>POLIDEPORTIVO CACHIRA - AUT   [2319500125]</t>
  </si>
  <si>
    <t>ARBOLEDAS - AUT   [1602500110]</t>
  </si>
  <si>
    <t>AGUACHICA - AUT [23195240]</t>
  </si>
  <si>
    <t>LA CEIBA - AUT [24017640]</t>
  </si>
  <si>
    <t>UNIVERSIDAD FRANCISO DE PAULA SANTANDER - AUT [16015110]</t>
  </si>
  <si>
    <t>ARAUCA TERMINAL - AUT [3706500109]</t>
  </si>
  <si>
    <t>GRAMALOTE - AUT   [1602500044]</t>
  </si>
  <si>
    <t>CAMPO HERMOSO - AUT   [3702500113]</t>
  </si>
  <si>
    <t>MAJADAS - AUT [23197700]</t>
  </si>
  <si>
    <t>TONA  - AUT [23190130]</t>
  </si>
  <si>
    <t>PIEDECUESTA GRANJA [23190700]</t>
  </si>
  <si>
    <t>SANTA ROSA  - AUT [23127060]</t>
  </si>
  <si>
    <t>SAN JUAN DE LOS CHORROS - AUT   [2319700096]</t>
  </si>
  <si>
    <t>AGUAS DE LA VIRGEN  - AUT [16055120]</t>
  </si>
  <si>
    <t>EL TABLAZO - AUT [26015010]</t>
  </si>
  <si>
    <t>LA DIANA - AUT [26075120]</t>
  </si>
  <si>
    <t>UNIVERSIDAD DEL VALLE  - AUT [26055120]</t>
  </si>
  <si>
    <t>SILOE - AUT [26085160]</t>
  </si>
  <si>
    <t>BUENAVENTURA IDEAM  - AUT [53119010]</t>
  </si>
  <si>
    <t>ZARAGOZA - AUT [26105250]</t>
  </si>
  <si>
    <t>CALARCA - AUT [26125300]</t>
  </si>
  <si>
    <t>PIE DE PATO - AUT [55015010]</t>
  </si>
  <si>
    <t>AEROPUERTO LA NUBIA AUT [26155110]</t>
  </si>
  <si>
    <t>ARRAYANALES - AUT [26015040]</t>
  </si>
  <si>
    <t xml:space="preserve">PUENTE CARRETERA  - AUT [26027200] </t>
  </si>
  <si>
    <t>IRRA  - AUT [26167070]</t>
  </si>
  <si>
    <t>PUENTE NEGRO  - AUT [26147140]</t>
  </si>
  <si>
    <t>FARALLONES - AUT [26055100]</t>
  </si>
  <si>
    <t>LA CUMBRE - AUT   [5311500121]</t>
  </si>
  <si>
    <t>SALENTO - AUT   [2612500130]</t>
  </si>
  <si>
    <t>POTREROS - AUT   [2613500126]</t>
  </si>
  <si>
    <t>PIJAO - AUT   [2612500124]</t>
  </si>
  <si>
    <t>GUAYABAL - AUT   [2633700150]</t>
  </si>
  <si>
    <t>GUACHAL PALMASECA - AUT   [2633500119]</t>
  </si>
  <si>
    <t>LITORAL SAN JUAN - AUT  [54057020]</t>
  </si>
  <si>
    <t>TESORITO FINCA  - AUT [26155170]</t>
  </si>
  <si>
    <t>BASE AEREA MARCO FIDEL SUAREZ  - AUT [26085170]</t>
  </si>
  <si>
    <t>LAS BRISAS - AUT [26115090]</t>
  </si>
  <si>
    <t>CRQ ARMENIA - AUT    [2612500038]</t>
  </si>
  <si>
    <t>UNION PANAMERICANA - AUT  [11035030]</t>
  </si>
  <si>
    <t>LA VORAGINE - AUT   [2629700151]</t>
  </si>
  <si>
    <t>HACIENDA LA GRACIOSA - AUT   [2636700098]</t>
  </si>
  <si>
    <t>NOVITA [54020020]</t>
  </si>
  <si>
    <t>CORINTO - AUT  [2604500039]</t>
  </si>
  <si>
    <t>NATAIMA - AUT [21185090]</t>
  </si>
  <si>
    <t>CAJAMARCA - AUT [21215190]</t>
  </si>
  <si>
    <t>NARINO - AUT [21237010]</t>
  </si>
  <si>
    <t>BATALLON ROOKE  - AUT [21215180]</t>
  </si>
  <si>
    <t>CERROS NOROCCIDENTALES  - AUT [21215160]</t>
  </si>
  <si>
    <t>MURILLO - AUT [21255170]</t>
  </si>
  <si>
    <t>BASE PALANQUERO  - AUT [23035030]</t>
  </si>
  <si>
    <t>PUERTO SALGAR - AUT [23037010]</t>
  </si>
  <si>
    <t>PUERTO LLERAS TOLIMA  - AUT [21160260]</t>
  </si>
  <si>
    <t>MANZANARES - AUT [2302500064]</t>
  </si>
  <si>
    <t>GUALÍ ALERTAS - AUT   [2301700089]</t>
  </si>
  <si>
    <t>SAN JOSE DE PENSILVANIA - AUT   [2305500055]</t>
  </si>
  <si>
    <t>LA NUEVA - AUT [21257100]</t>
  </si>
  <si>
    <t>DEMOSTRACION GRANJA  - AUT [22045010]</t>
  </si>
  <si>
    <t>PUERTO LIBRE  - AUT [23067040]</t>
  </si>
  <si>
    <t>PAQUILO - AUT [21195170]</t>
  </si>
  <si>
    <t>SAN CAYETANO - AUT [23125170]</t>
  </si>
  <si>
    <t>PNN CHINGAZA - AUT [35025080]</t>
  </si>
  <si>
    <t>VILLETA - AUT [23065180]</t>
  </si>
  <si>
    <t>QUEBRADA NEGRA - AUT [23065190]</t>
  </si>
  <si>
    <t>ACAPULCO AUT [21206280]</t>
  </si>
  <si>
    <t>EL PROFUNDO - AUT [21197010]</t>
  </si>
  <si>
    <t>UNIVERSIDAD DE LA SABANA - AUT   [2120700146]</t>
  </si>
  <si>
    <t>CARAZA  - AUT [35027100]</t>
  </si>
  <si>
    <t>MERCEDES - AUT [21205660]</t>
  </si>
  <si>
    <t>NUEVA GENERACION  - AUT [21206600]</t>
  </si>
  <si>
    <t>LA COSECHA - AUT [21205910]</t>
  </si>
  <si>
    <t>HACIENDA SANTA ANA [21205970]</t>
  </si>
  <si>
    <t>VILLETA - AUT [23067070]</t>
  </si>
  <si>
    <t>CARMEN DE CARUPA  - AUT [24015380]</t>
  </si>
  <si>
    <t>UNIVERSIDAD DE LA SABANA - AUT   [2120500135]</t>
  </si>
  <si>
    <t>ITA VALSALICE  - AUT [21195120]</t>
  </si>
  <si>
    <t>VILLA INES  - AUT [21205940]</t>
  </si>
  <si>
    <t>TOBIA  - AUT [23067060]</t>
  </si>
  <si>
    <t>PARAMO CHINGAZA  - AUT [35035130]</t>
  </si>
  <si>
    <t>TULENAPA  - AUT [12015060]</t>
  </si>
  <si>
    <t>RETIRO - AUT [2308500071]</t>
  </si>
  <si>
    <t>ITUANGO - AUT [2621500070]</t>
  </si>
  <si>
    <t>CARAMANTA  - AUT [23087160]</t>
  </si>
  <si>
    <t>TURBO - AUT [12025040]</t>
  </si>
  <si>
    <t>CAÑASGORDAS  - AUT [11115020]</t>
  </si>
  <si>
    <t>PISTA INDIRA - AUT [12015100]</t>
  </si>
  <si>
    <t>QUITASUENO  - AUT [26187040]</t>
  </si>
  <si>
    <t>SALGAR - AUT   [2619700161]</t>
  </si>
  <si>
    <t>PUEBLO BELLO  - AUT [12027010]</t>
  </si>
  <si>
    <t>VALLE ALTO  - AUT [26180250]</t>
  </si>
  <si>
    <t>LA GARRUCHA - AUT [23087190]</t>
  </si>
  <si>
    <t>EL RETIRO - AUT [27037020]</t>
  </si>
  <si>
    <t>BARRANQUILLITA  - AUT [12017020]</t>
  </si>
  <si>
    <t>UNGUIA - AUT [11135030]</t>
  </si>
  <si>
    <t>EL JARDIN CUENCA ALTA RIO RISARALDA - AUT   [2614500116]</t>
  </si>
  <si>
    <t>LOMA VERDE - AUT [1303500074]</t>
  </si>
  <si>
    <t>JUAN JOSE - AUT   [2501500120]</t>
  </si>
  <si>
    <t>SAN MARCOS - AUT [25025340]</t>
  </si>
  <si>
    <t>PLANTA ECOPETROL - AUT   [2502700153]</t>
  </si>
  <si>
    <t>EL CALVARIO - AUT [3503500062]</t>
  </si>
  <si>
    <t>GUAYURIBA - AUT   [3502700090]</t>
  </si>
  <si>
    <t>HUERTA LA GRANDE [35095110]</t>
  </si>
  <si>
    <t>EL ROSARIO - AUT [44037040]</t>
  </si>
  <si>
    <t>PUEBLO NUEVO - AUT [21117100]</t>
  </si>
  <si>
    <t>INZA - AUT [21055070]</t>
  </si>
  <si>
    <t>ANGOSTURA  - AUT [21137050]</t>
  </si>
  <si>
    <t>PUENTE COHETANDO - AUT   [2105700099]</t>
  </si>
  <si>
    <t>MACAGUAL - AUT [44035050]</t>
  </si>
  <si>
    <t>SAN VICENTE DEL CAGUAN  - AUT [46015030]</t>
  </si>
  <si>
    <t>PURACE  - AUT [21015050]</t>
  </si>
  <si>
    <t>CARRASPOSO  - AUT [21147030]</t>
  </si>
  <si>
    <t>MAGUARE - AUT [46035010]</t>
  </si>
  <si>
    <t>SAN MARCOS  - AUT [21037020]</t>
  </si>
  <si>
    <t>LOS GUACHAROS  - AUT [21015070]</t>
  </si>
  <si>
    <t>LA PLATA - AUT [21115170]</t>
  </si>
  <si>
    <t>GUATAPURI - AUT [28035070]</t>
  </si>
  <si>
    <t>PALMOR - SIERRA NEVADA - AUT [2906500077]</t>
  </si>
  <si>
    <t>CHEMESQUEMENA - AUT   [2801700088]</t>
  </si>
  <si>
    <t>GUACHACA - AUT   [1509500118]</t>
  </si>
  <si>
    <t>RIO MANZANARES ALERTAS - AUT   [1501700160]</t>
  </si>
  <si>
    <t>SERRANIA DEL PERIJA  - AUT [28025120]</t>
  </si>
  <si>
    <t>SAN LORENZO  - AUT [15015060]</t>
  </si>
  <si>
    <t>PARAMO RABANAL - AUT [35075080]</t>
  </si>
  <si>
    <t>BORBUR 2 [23120250]     (antes SAN PABLO DE BORBUR  - AUT [23125160])</t>
  </si>
  <si>
    <t>EL DIAMANTE - AUT [36015020]</t>
  </si>
  <si>
    <t>PESCA - AUT [2403500083]</t>
  </si>
  <si>
    <t>SUSA - AUT [2403500085]</t>
  </si>
  <si>
    <t>SIACHOQUE [24030140]</t>
  </si>
  <si>
    <t>MONGUA - AUT [2403500084]</t>
  </si>
  <si>
    <t>GRANJA GUAYATA - AUT   [3507500046]</t>
  </si>
  <si>
    <t>GUADUALITO - AUT [3518500127]</t>
  </si>
  <si>
    <t>TUA BALNEARIO - AUT [ ]</t>
  </si>
  <si>
    <t>PUENTE TOTUMO  - AUT [24037490]</t>
  </si>
  <si>
    <t>LA GRUTA  - AUT [24037080]</t>
  </si>
  <si>
    <t>LA SIERRA - AUT [24025030]</t>
  </si>
  <si>
    <t>NEVADO DEL COCUY - AUT [24035380]</t>
  </si>
  <si>
    <t>TEATINOS - AUT   [3507500133]</t>
  </si>
  <si>
    <t>CERRO PARAMO  - AUT [52055150]</t>
  </si>
  <si>
    <t>PUENTE JUANAMBU  - AUT [52047020]</t>
  </si>
  <si>
    <t>PUERTO NUEVO PATIA - AUT [52017001]</t>
  </si>
  <si>
    <t>SANTIAGO - AUT   [52020070]</t>
  </si>
  <si>
    <t>RESERVA NATURAL LA PLANADA - AUT   [5102500128]</t>
  </si>
  <si>
    <t>PICUDO EL [47017170]</t>
  </si>
  <si>
    <t>AEROPUERTO GUAPI - AUT [53045040]</t>
  </si>
  <si>
    <t>MONOPAMBA  - AUT [47017110]</t>
  </si>
  <si>
    <t>VOLCAN CHILES  - AUT [52055160]</t>
  </si>
  <si>
    <t>SANTA ROSA  - AUT [44017070]</t>
  </si>
  <si>
    <t>PUENTE CAPIRA - AUT [16027300]</t>
  </si>
  <si>
    <t>PARAMO ALMORZADERO  - AUT [24035390]</t>
  </si>
  <si>
    <t>ALCARAVAN  AUT [37057020]</t>
  </si>
  <si>
    <t>MALAGA 2 AUT [24030950]</t>
  </si>
  <si>
    <t>QUINCE LETRAS - AUT [16057040]</t>
  </si>
  <si>
    <t>PEÑA DE LOS MICOS - AUT [37027010]</t>
  </si>
  <si>
    <t>PUENTE LOPEZ - AUT [37017040]</t>
  </si>
  <si>
    <t>MUTISCUA - AUT [1602500063]</t>
  </si>
  <si>
    <t>LAS MINAS - AUT   [2401700091]</t>
  </si>
  <si>
    <t>VETAS - AUT   [2319500137]</t>
  </si>
  <si>
    <t>EL PORTILLO - AUT   [3701500117]</t>
  </si>
  <si>
    <t>ASTILLEROS - AUT [16027280]</t>
  </si>
  <si>
    <t>PALO GRANDE - AUT   [1605700152]</t>
  </si>
  <si>
    <t>LA MARIA - AUT [16040050]</t>
  </si>
  <si>
    <t>ALCALDIA DE HERRAN  - AUT [16015130]</t>
  </si>
  <si>
    <t>EL PARAMO - AUT [24030680]</t>
  </si>
  <si>
    <t>EL VINCULO - AUT [26095320]</t>
  </si>
  <si>
    <t>NEVADO SANTA ISABEL  - AUT [26135320]</t>
  </si>
  <si>
    <t>PNN QUIMBAYA - AUT [26135300]</t>
  </si>
  <si>
    <t>PNN NEVADOS - AUT [26155240]</t>
  </si>
  <si>
    <t>SANTA EMILIA - AUT [26145090]</t>
  </si>
  <si>
    <t>TADO - AUT [54017040]</t>
  </si>
  <si>
    <t>SIETECUERALES - AUT [26157200]</t>
  </si>
  <si>
    <t>PALETARA  - AUT [26015050]</t>
  </si>
  <si>
    <t>LA INDEPENDENCIA - AUT [26055110]</t>
  </si>
  <si>
    <t>PUEBLO RICO  - AUT [54015010]</t>
  </si>
  <si>
    <t>CONEJERAS2 - AUT [26157170]</t>
  </si>
  <si>
    <t>MOLINOS - AUT [2601700104]</t>
  </si>
  <si>
    <t>LA ESPERANZA ANDALUCIA - AUT   [2615500122]</t>
  </si>
  <si>
    <t>PUENTE ZACARIAS - AUT   [5311700154]</t>
  </si>
  <si>
    <t>PUENTE ARAGON  - AUT [26017060]</t>
  </si>
  <si>
    <t>EL RETEN - AUT [26137220]</t>
  </si>
  <si>
    <t>EL PLACER - AUT [26105240]</t>
  </si>
  <si>
    <t>LA LAGUNA DEL OTUN  - AUT [26135330]</t>
  </si>
  <si>
    <t>PARAMO CONEJERAS  - AUT [26155250]</t>
  </si>
  <si>
    <t>SAN ANTONIO CALDAS - AUT [26155270]</t>
  </si>
  <si>
    <t>RIO FRIO - AUT   [2611700158]</t>
  </si>
  <si>
    <t>PUENTE CARRETERA [52017100]  (CAMBIO DE AREA OPERATIVA)</t>
  </si>
  <si>
    <t>LAS BRISAS - AUT [26155150]</t>
  </si>
  <si>
    <t>PNN PURACE - AUT [26015030]</t>
  </si>
  <si>
    <t>LA MORA - AUT [21167080]</t>
  </si>
  <si>
    <t>PARAMO DE YERBABUENA  - AUT [22075050]</t>
  </si>
  <si>
    <t>PIEDRAS DE COBRE  - AUT [22057010]</t>
  </si>
  <si>
    <t>HACIENDA PAJONALES [21255160]</t>
  </si>
  <si>
    <t>CANTERAS - AUT [23087210]</t>
  </si>
  <si>
    <t>SAN PABLO TOLIMA  - AUT [21167060]</t>
  </si>
  <si>
    <t>PUERTO BELLO  - AUT [23087230]</t>
  </si>
  <si>
    <t>CUCUNUBA  - AUT [21187030]</t>
  </si>
  <si>
    <t>PLANADAS - AUT   [2202500051]</t>
  </si>
  <si>
    <t>EL SILENCIO - AUT   [2121500042]</t>
  </si>
  <si>
    <t>SAN MIGUEL [2119700147] CAMBIO DE TECNOLOGIA</t>
  </si>
  <si>
    <t>COLORADOS  - AUT [23067020]</t>
  </si>
  <si>
    <t>NEVADO DEL TOLIMA  - AUT [21215150]</t>
  </si>
  <si>
    <t>RECIO 1 - AUT   [2125700094]</t>
  </si>
  <si>
    <t>LA ESMERALDA - AUT [21257090]</t>
  </si>
  <si>
    <t>PIJAITO  - AUT [22077050]</t>
  </si>
  <si>
    <t>PUENTE GATO NEGRO  - AUT [21257120]</t>
  </si>
  <si>
    <t>PASCA - AUT [21195190]</t>
  </si>
  <si>
    <t>SANTA CRUZ DE SIECHA  - AUT [21206980]</t>
  </si>
  <si>
    <t>PARAMO ALTO - AUT   [2120500050]</t>
  </si>
  <si>
    <t>SAN JOAQUIN - AUT   [2120700162]</t>
  </si>
  <si>
    <t>BOSQUE INTERVENIDO  - AUT [35025090]</t>
  </si>
  <si>
    <t>LA BOYERA - AUT [24015110]</t>
  </si>
  <si>
    <t>CALOSTROS BAJO - AUT  [35027510]</t>
  </si>
  <si>
    <t>PARAMO GUERRERO  - AUT [21206930]</t>
  </si>
  <si>
    <t>YACOPI  - AUT [23065110]</t>
  </si>
  <si>
    <t>VILLA TERESA - AUT [21206920]</t>
  </si>
  <si>
    <t>QUEBRADA RINCON  - AUT [35027500]</t>
  </si>
  <si>
    <t>ALTO DEL TRIGO -   [2306500106]</t>
  </si>
  <si>
    <t>TUNGUAVITA - AUT [24035430]</t>
  </si>
  <si>
    <t>EL JUNCAL - AUT   [2405700149]</t>
  </si>
  <si>
    <t>JURADO - AUT  [56015040]</t>
  </si>
  <si>
    <t>BAGADO [11017020]</t>
  </si>
  <si>
    <t>LAS CAMELIAS - AUT [26247050]</t>
  </si>
  <si>
    <t>CAÑAFISTO [26217050]</t>
  </si>
  <si>
    <t>LAS VARAS - AUT [25027200]</t>
  </si>
  <si>
    <t>MACHADO  AUT [29057003]</t>
  </si>
  <si>
    <t>GUAICARAMO  - AUT [35107040]</t>
  </si>
  <si>
    <t>PUENTE CARRETERA  - AUT [21137030]</t>
  </si>
  <si>
    <t>EL DIFICIL - AUT [25025000]</t>
  </si>
  <si>
    <t>PALMARITO - AUT [2804500076]</t>
  </si>
  <si>
    <t>LA LOMA CARBONES - AUT [28025130]</t>
  </si>
  <si>
    <t>LA MURALLA - AUT [22057060]</t>
  </si>
  <si>
    <t>CHARCO LARGO  - AUT [23067080]</t>
  </si>
  <si>
    <t>CARMEN DEL DARIEN -AUT [11105020]</t>
  </si>
  <si>
    <t>RIOSUCIO [11120040]</t>
  </si>
  <si>
    <t>BELLAVISTA [11080010]</t>
  </si>
  <si>
    <t>CAPURGANA - AUT [11155030]</t>
  </si>
  <si>
    <t>NUQUI [56010040]</t>
  </si>
  <si>
    <t>CHIGORODO - AUT [12015110]</t>
  </si>
  <si>
    <t>PAJARITO - AUT [27015290]</t>
  </si>
  <si>
    <t>SAN JUAN NECHI - AUT [27037030]</t>
  </si>
  <si>
    <t>SANTUARIO - AUT [2308500068]</t>
  </si>
  <si>
    <t>BETE [1105002]</t>
  </si>
  <si>
    <t>LEQUERICA - AUT - AUT [29057002]</t>
  </si>
  <si>
    <t>SAN CRISTOBAL - AUT [29057001]</t>
  </si>
  <si>
    <t>SANTA HELENA..  - AUT  [29057004]</t>
  </si>
  <si>
    <t>URÉ [2501700189]</t>
  </si>
  <si>
    <t>OROCUE BRAZO DERECHO [35227070]</t>
  </si>
  <si>
    <t>RIO CHIQUITO [21057130]</t>
  </si>
  <si>
    <t>VILLARREAL [44197020]</t>
  </si>
  <si>
    <t>NATAGA  - AUT [21050090] CAMBIO DE TECNOLOGIA</t>
  </si>
  <si>
    <t>COLEGIO KANKAWARWA - AUT [29065140]</t>
  </si>
  <si>
    <t>CEIBAL EL [35097080]</t>
  </si>
  <si>
    <t>GRANJA EL MIRA - - AUT [51025090]</t>
  </si>
  <si>
    <t>BIOTOPO - AUT [51025060]</t>
  </si>
  <si>
    <t>RIO CLARO - AUT [26157190]</t>
  </si>
  <si>
    <t>POTRERITO AUT [26057030]</t>
  </si>
  <si>
    <t>EL ALAMBRADO AUT [26127010]</t>
  </si>
  <si>
    <t>BAJO BAUDO - AUT  [55015020]</t>
  </si>
  <si>
    <t>INFANTERIA MARINA [5311500147]</t>
  </si>
  <si>
    <t>ARRANCAPLUMAS  - AUT [21237020]</t>
  </si>
  <si>
    <t>PARQUE RAFAEL NUNEZ [35027002]</t>
  </si>
  <si>
    <t>PUENTE SEVILLA  - AUT [29067160]</t>
  </si>
  <si>
    <t>PASO DE LA CANOA - AUT [37037010]</t>
  </si>
  <si>
    <t>AGUAS CLARAS  - AUT [16017010]</t>
  </si>
  <si>
    <t>PUERTO LEON - AUT [16027060]</t>
  </si>
  <si>
    <t>PUERTO BARCO-GABARRA - AUT [16067010]</t>
  </si>
  <si>
    <t>CANELOS  - AUT [23205050]</t>
  </si>
  <si>
    <t>TIBU [16035010]</t>
  </si>
  <si>
    <t>LA BODEGA - AUT [23107020]</t>
  </si>
  <si>
    <t>TORIBIO ALERTAS   TORIBIO - AUT   [2604500134]</t>
  </si>
  <si>
    <t>SANTA LUCIA - AUT   [2610500131]</t>
  </si>
  <si>
    <t>REMOLINO - AUT   [2603700157]</t>
  </si>
  <si>
    <t>REMOLINO ALERTAS - EL VOLCAN - AUT   [2603500127]</t>
  </si>
  <si>
    <t>CAUCA ALTO - AUT   [2602700148]</t>
  </si>
  <si>
    <t>PUENTE SARDINATA - AUT [16037030]</t>
  </si>
  <si>
    <t>EL DIVISO - AUT [53075020]</t>
  </si>
  <si>
    <t>SARDINATA [16035030]</t>
  </si>
  <si>
    <t>ID</t>
  </si>
  <si>
    <t>AGUACHICA - AUT [23195240; AO 08; MET; GPRS; FONDO ADAPTACION]</t>
  </si>
  <si>
    <t>AGUAS DE LA VIRGEN  - AUT [16055120; AO 08; MET; GPRS; FONDO ADAPTACION]</t>
  </si>
  <si>
    <t>ALCALDIA DE HERRAN  - AUT [16015130; NDS; MET; INMARSAT; AO08; FONDO ADAPTACION]</t>
  </si>
  <si>
    <t>ALCARAVAN  AUT [37057020; ARA; HID; INMARSAT: AO08; FONDO ADAPTACION]</t>
  </si>
  <si>
    <t>ALGECIRAS - AUT [21105030; AO 04; MET; GPRS; FONDO ADAPTACION]</t>
  </si>
  <si>
    <t>ALTAQUER - AUT [51025080; AO07; FONDO ADAPTACION]</t>
  </si>
  <si>
    <t>CARAMANTA [23087160;AO 01;FONDO ADAPTACION]</t>
  </si>
  <si>
    <t>ANGOSTURA  - AUT [21137050; TOL; HID; INMARSAT; AO04; FONDO ADAPTACION]</t>
  </si>
  <si>
    <t>AEROPUERTO GUAPI - AUT [53045040;AO 07;FONDO ADAPTACION]</t>
  </si>
  <si>
    <t>AQUITANIA - AUT [35095120; AO 06; MET; GPRS; FONDO ADAPTACION]</t>
  </si>
  <si>
    <t>ARAGON [27015320;AO 01;FONDO ADAPTACION]</t>
  </si>
  <si>
    <t>ARRAYANALES - AUT [26015040; AO09; IPWD; ; FNCM ]</t>
  </si>
  <si>
    <t>ACAPULCO [21206280; AO11; FONDO ADAPTACION]</t>
  </si>
  <si>
    <t>BASE AEREA MARCO FIDEL SUAREZ  - AUT [26085170; VDC; MET; GOES: CB1E936C; AO09; FONDO ADAPTACION]</t>
  </si>
  <si>
    <t>BATALLON NO. 6 - AUT [29065120; AO 05; FONDO ADAPTACION]</t>
  </si>
  <si>
    <t>BATALLON ROOKE  - AUT [21215180; AO 10; MET; GPRS; FONDO ADAPTACION]</t>
  </si>
  <si>
    <t>BERLIN - AUT [37015030; AO 08; MET; GPRS; FONDO ADAPTACION]</t>
  </si>
  <si>
    <t>BIOTOPO - AUT [51025060;  AO07; PROCESO DE SUSPENSIÓN]</t>
  </si>
  <si>
    <t>COLORADOS  - AUT [23067020; CUN; HID; INMARSAT; AO10; FONDO ADAPTACION]</t>
  </si>
  <si>
    <t>BOTANA - AUT [52055210; AO 07; FONDO ADAPTACION]</t>
  </si>
  <si>
    <t>LA BOYERA [24015110; AO11; FONDO ADAPTACION]</t>
  </si>
  <si>
    <t>EL GUAMO - AUT [29015000; AO 02; FONDO ADAPTACION]</t>
  </si>
  <si>
    <t>LAS BRISAS - AUT [26115090; AO 09; MET; GPRS; FONDO ADAPTACION]</t>
  </si>
  <si>
    <t>BUENAVENTURA IDEAM  - AUT [53119010; VDC; HID;INMARSAT; AO09; FONDO ADAPTACION]</t>
  </si>
  <si>
    <t>CERROS NOROCCIDENTALES  - AUT [21215160; AO 10; MET; GPRS; FONDO ADAPTACION]</t>
  </si>
  <si>
    <t>SAN ANTONIO PADUA [11057020; AO 01;FONDO ADAPTACION]</t>
  </si>
  <si>
    <t>CAJAMARCA - AUT [21215190; AO 10; MET; GPRS; FONDO ADAPTACION]</t>
  </si>
  <si>
    <t>CALARCA - AUT [26125300; AO 09; MET; GPRS; FONDO ADAPTACION]</t>
  </si>
  <si>
    <t>LA CAPILLA - AUT [35085080; AO 06; MET; GPRS;  FONDO ADAPTACION]</t>
  </si>
  <si>
    <t>CARMEN DE BOLIVAR  - AUT [29015040; AO 02; FONDO ADAPTACION ]</t>
  </si>
  <si>
    <t>REPELON - AUT [29035200; A0 02; FONDO ADAPTACION]</t>
  </si>
  <si>
    <t>CERRO PARAMO  - AUT [52055150;AO 07;FONDO ADAPTACIÓN]</t>
  </si>
  <si>
    <t>PUENTE YOPAL  - AUT [35217010;  AO 06; MET; GPRS; FONDO ADAPTACION]</t>
  </si>
  <si>
    <t>ARRANCAPLUMAS  - AUT [21237020; PROCESO DE SUSPENSIÓN]</t>
  </si>
  <si>
    <t>COLEGIO AGROPECUARIO PAILITAS  - AUT [25025330; AO 05; MET; GPRS; FONDO ADAPTACION]</t>
  </si>
  <si>
    <t>PUERTO NUEVO PATIA - AUT [52017001;AO07;FONDO ADAPTACION]</t>
  </si>
  <si>
    <t>CORINTO - AUT  [2604500039; AO 09; MET; GPRS; FONDO ADAPTACION]</t>
  </si>
  <si>
    <t>LA COSECHA [21205910; AO11; FONDO ADAPTACION]</t>
  </si>
  <si>
    <t>HACIENDA COTOVE [26225060;AO 01;FONDO ADAPTACION]</t>
  </si>
  <si>
    <t>DEMOSTRACION GRANJA  - AUT [22045010; AO 10; MET; GPRS; FONDO ADAPTACION]</t>
  </si>
  <si>
    <t>BALBOA - AUT [52010020, AO07; FONDO ADAPTACION]</t>
  </si>
  <si>
    <t>LA DIANA - AUT [26075120; AO 09; MET; GPRS; FONDO ADAPTACION]</t>
  </si>
  <si>
    <t>EL DIVISO - AUT [53075020; AO07; ORDEN PUBLICO]</t>
  </si>
  <si>
    <t>DUITAMA - AUT  [2403500041; AO 06; MET; GPRS; FONDO ADAPTACION]</t>
  </si>
  <si>
    <t>EL ESPINO - AUT [24035370;  AO 06; MET; GPRS; FONDO ADAPTACION]</t>
  </si>
  <si>
    <t>ESTRECHO PATIA  - AUT [52025080; AO 07; MET; GPRS; FONDO ADAPTACIÓN ]</t>
  </si>
  <si>
    <t>FARALLONES - AUT [26055100; VDC; MET; GOES: CB10BF3A ; AO09; FONDO ADAPTACION]</t>
  </si>
  <si>
    <t>FEDEARROZ - AUT [28035060; AO 05; MET; GPRS; FONDO ADAPTACION]</t>
  </si>
  <si>
    <t>FLORENCIA - AUT [44035040; AO 04; MET; GPRS; FONDO ADAPTACION]</t>
  </si>
  <si>
    <t>EL ROSARIO - AUT [44037040;CAQ;HID;INMARSAT; AO04; FONDO ADAPTACION]</t>
  </si>
  <si>
    <t>ESCUELA NAVAL BARRANQUILLA  - AUT [29004520; AO 02; FONDO ADAPTACION]</t>
  </si>
  <si>
    <t>VILLA DE LEIVA  - AUT [24015300; AO06; MET; GPRS; FONDO ADAPTACION]</t>
  </si>
  <si>
    <t>GRANJA GUAYATA - AUT   [3507500046;; MET; AO06; FONDO ADAPTACION]</t>
  </si>
  <si>
    <t>LA GRAN VIA - AUT [29065130; AO 05; MET; GPRS; FONDO ADAPTACION]</t>
  </si>
  <si>
    <t>LOS GUACHAROS  - AUT [21015070; HUI; MET; INMARSAT; AO04; FONDO ADAPTACION]</t>
  </si>
  <si>
    <t>MUTISCUA - AUT [1602500063; NDS; MET; INMARSAT; AO08; FONDO ADAPTACION]</t>
  </si>
  <si>
    <t>MEDIA LUNA - AUT [29065000; AO 05; MET; GPRS; FONDO ADAPTACION]</t>
  </si>
  <si>
    <t>GRANADA SENA - AUT [3206500045;AO 03;FONDO ADAPTACION]</t>
  </si>
  <si>
    <t>HUERTA LA GRANDE [35095110;AO 03;FONDO ADAPTACION]</t>
  </si>
  <si>
    <t>ICA VILLAVICENCIO - AUT [35035100;AO 03;FONDO ADAPTACION]</t>
  </si>
  <si>
    <t>LA INDEPENDENCIA - AUT [26055110; VDC; MET; GPRS; AO09; FONDO ADAPTACION]</t>
  </si>
  <si>
    <t>INZA - AUT [21055070; CAU; MET; INMARSAT; AO04; FONDO ADAPTACION]</t>
  </si>
  <si>
    <t>ITA VALSALICE [21195120; AO-11; FONDO ADAPTACION]</t>
  </si>
  <si>
    <t>AEROPUERTO LAS FLORES  - AUT [25025360; AO 05; MET; GPRS; FONDO ADAPTACION]</t>
  </si>
  <si>
    <t>LA LOMA CARBONES - AUT [28025130;  AO05; PROCESO DE SUSPENSIÓN]</t>
  </si>
  <si>
    <t>LA SELVA [23085260; AO 01;FONDO ADAPTACION]</t>
  </si>
  <si>
    <t>PUENTE JUANAMBU  - AUT [52047020; AO07; FONDO ADAPTACION]</t>
  </si>
  <si>
    <t>LA LAGUNA DEL OTUN  - AUT [26135330; RIS; MET; INMARSAT; AO09; FONDO ADAPTACION]</t>
  </si>
  <si>
    <t>LEJANÍAS - AUT [3206500058;AO 03;FONDO ADAPTACION]</t>
  </si>
  <si>
    <t>LA LIBERTAD - AUT [35025110;AO 03;FONDO ADAPTACION]</t>
  </si>
  <si>
    <t>LLORO [11035010;AO 01;FONDO ADAPTACION]</t>
  </si>
  <si>
    <t>MACAGUAL - AUT [44035050; CAQ; MET; AM; R; AO04 ; H2; OCARVAJAL; 55-3; IPWD; R24; FNCM; ; ]</t>
  </si>
  <si>
    <t>MACEO [23105070; AO 01;FONDO ADAPTACION]</t>
  </si>
  <si>
    <t>MALAGA 2 [24030950; SAN; MET; PG; ROC; AO08; H7; DOSPINA; 55-5; IPWD; R24;FNCM; ;  ]</t>
  </si>
  <si>
    <t>MANZANARES - AUT [2302500064; AO 10; MET; GPRS; FONDO ADAPTACION]</t>
  </si>
  <si>
    <t>SEVILLA  - AUT [21015020; AO 04; MET; GPRS; FONDO ADAPTACION]</t>
  </si>
  <si>
    <t>MERCEDES [21205660; AO 11; FONDO ADAPTACION]</t>
  </si>
  <si>
    <t>METROMEDELLIN [27015310;AO 01;FONDO ADAPTACION]</t>
  </si>
  <si>
    <t>MOGOTES - AUT [24025090; AO 08; MET; GPRS; FONDO ADAPTACION]</t>
  </si>
  <si>
    <t>MONTELIBANO - AUT [25017010; AO 02; FONDO ADAPTACION]</t>
  </si>
  <si>
    <t>MONTERIA  - AUT [13067020; AO 02; FONDO ADAPTACION]</t>
  </si>
  <si>
    <t>LA MORA - AUT [21167080; TOL; HID; INMARSAT; AO10; FONDO ADAPTACION]</t>
  </si>
  <si>
    <t>NATAIMA - AUT [21185090; AO 10; MET; GPRS; FONDO ADAPTACION]</t>
  </si>
  <si>
    <t>NEVADO SANTA ISABEL  - AUT [26135320; CAL; MET; INMARSAT; AO09; FONDO ADAPTACION]</t>
  </si>
  <si>
    <t>NEVADO DEL COCUY - AUT [24035380; AO06; MET; INMARSAT;  FONDO ADAPTACION]</t>
  </si>
  <si>
    <t>NEVADO DEL TOLIMA  - AUT [21215150; TOL; MET; INMARSAT; AO10; FONDO ADAPTACION]</t>
  </si>
  <si>
    <t>NORMAL MANATI  - AUT [29035080; A0 02; FONDO ADAPTACION]</t>
  </si>
  <si>
    <t>NUEVA GENERACION [21206600; AO11; FONDO ADAPTACION]</t>
  </si>
  <si>
    <t>HACIENDA PAJONALES [21255160; TOL; MET; INMARSAT; AO10; FONDO ADAPTACION]</t>
  </si>
  <si>
    <t>BASE PALANQUERO  - AUT [23035030; CUN; MET; GOES: CB13F5EC; AO10; FONDO ADAPTACION]</t>
  </si>
  <si>
    <t>PAQUILO [21195170; AO 11; FONDO ADAPTACION]</t>
  </si>
  <si>
    <t>PARAMO ALMORZADERO  - AUT [24035390; SAN; MET; INMARSAT; AO08; FONDO ADAPTACION]</t>
  </si>
  <si>
    <t>PARAMO DE YERBABUENA  - AUT [22075050; TOL; MET; INMARSAT; AO10; FONDO ADAPTACION]</t>
  </si>
  <si>
    <t>EL PARAISO - AUT [52055220; AO 07; MET; GPRS; FONDO ADAPTACION]</t>
  </si>
  <si>
    <t>PARAMO BELMIRA [27015280;AO 01;FONDO ADAPTACION]</t>
  </si>
  <si>
    <t>PASCA [21195190; AO11; FONDO ADAPTACION]</t>
  </si>
  <si>
    <t>SAN RAFAEL  - AUT [24037190; AO 06; HID; GPRS;  FONDO ADAPTACION]</t>
  </si>
  <si>
    <t>GRANJA PIEDECUESTA [2319500065; AO 08; MET; GPRS; FONDO ADAPTACION ]</t>
  </si>
  <si>
    <t>PIEDRAS DE COBRE  - AUT [22057010; TOL; HID; INMARSAT; AO10; FONDO ADAPTACION]</t>
  </si>
  <si>
    <t>PISTA INDIRA [12015100;AO 01;FONDO ADAPTACION]</t>
  </si>
  <si>
    <t>EL PLACER - AUT [26105240; VDC; MET; GOES; AO09; FONDO ADAPTACION]</t>
  </si>
  <si>
    <t>PLANETA RICA  - AUT [25025190; AO 02; FONDO ADAPTACION]</t>
  </si>
  <si>
    <t>LA PLATA - AUT [21115170; HUI; MET; INMARSAT; AO04; FONDO ADAPTACION]</t>
  </si>
  <si>
    <t>PARAMO CONEJERAS  - AUT [26155250; CAL; MET; INMARSAT; AO09; FONDO ADAPTACION]</t>
  </si>
  <si>
    <t>PNN CHINGAZA [35025080; AO11; FONDO ADAPTACION]</t>
  </si>
  <si>
    <t>PNN NEVADOS - AUT [26155240; CAL; MET; INMARSAT; AO09; FONDO ADAPTACION]</t>
  </si>
  <si>
    <t>PNN PURACE - AUT [26015030; AO09; FONDO ADAPTACION]</t>
  </si>
  <si>
    <t>PNN QUIMBAYA - AUT [26135300; RIS; MET; GPRS; AO09; FONDO ADAPTACION]</t>
  </si>
  <si>
    <t>PARAMO CHINGAZA [35035130; AO11; FONDO ADAPTACION]</t>
  </si>
  <si>
    <t>PARAMO GUERRERO [21206930; AO11; FONDO ADAPTACION]</t>
  </si>
  <si>
    <t>PARAMO RABANAL - AUT [35075080; AO06; MET; INMARSAT; FONDO ADAPTACION]</t>
  </si>
  <si>
    <t>EL PROFUNDO [21197010; AO 11; FONDO ADAPTACION]</t>
  </si>
  <si>
    <t>PUENTE ABADIA - AUT [35037100;AO 03;FONDO ADAPTACION]</t>
  </si>
  <si>
    <t>CHARCO LARGO [23067080; AO11; FONDO ADAPTACION]</t>
  </si>
  <si>
    <t>PUENTE CAPIRA - AUT [16027300; NDS; HID; INMARSAT; AO08; FONDO ADAPTACION]</t>
  </si>
  <si>
    <t>PUENTE GATO NEGRO  - AUT [21257120; TOL; HID; INMARSAT; AO10; FONDO ADAPTACION]</t>
  </si>
  <si>
    <t>PUENTE LLERAS - AUT [35017020;AO 03;FONDO ADAPTACION]</t>
  </si>
  <si>
    <t>PUENTE PUSMEO - AUT [52077010; AO-07; FONDO ADAPTACION]</t>
  </si>
  <si>
    <t>PUERTO ANGOSTURAS - AUT [32067030; AO 03;IDEAM]</t>
  </si>
  <si>
    <t>PUERTO LLERAS TOLIMA  - AUT [21160260; TOL; MET; INMARSAT; AO10; FONDO ADAPTACION]</t>
  </si>
  <si>
    <t>PUERTO SALGAR - AUT [23037010; AO 10; HID; GPRS; FONDO ADAPTACION]</t>
  </si>
  <si>
    <t>PUEBLO NUEVO - AUT [21117100; HUI; HID; INMARSAT; AO04; FONDO ADAPTACION]</t>
  </si>
  <si>
    <t>PURACE  - AUT [21015050; HUI; MET; INMARSAT; AO04; FONDO ADAPTACION]</t>
  </si>
  <si>
    <t>QUEBRADA NEGRA [23065190; AO 11; FONDO ADAPTACION]</t>
  </si>
  <si>
    <t>EL RETEN - AUT [26137220;GOES; AO09; FONDO ADAPTACION]</t>
  </si>
  <si>
    <t>RIO CLARO - AUT [26157190; CAL; HID; INMARSAT; AO09; FONDO ADAPTACION]</t>
  </si>
  <si>
    <t>BORBUR  2 - AUT [23120250; AO06; MET;  FONDO ADAPTACION]</t>
  </si>
  <si>
    <t>SAN VICENTE DEL CAGUAN  - AUT [46015030; CAQ; MET; INMARSAT; AO04; FONDO ADAPTACION]</t>
  </si>
  <si>
    <t>SAN  VICENTE DE CHUCURI  - AUT [24055070; AO 08; MET; GPRS; FONDO ADAPTACION]</t>
  </si>
  <si>
    <t>SABANA DE TORRES [23180070; AO 08; MET; GPRS; FONDO ADAPTACION]</t>
  </si>
  <si>
    <t>SAN ANTONIO CALDAS - AUT [26155270; CAL; MET; INMARSAT; AO09; FONDO ADAPTACION]</t>
  </si>
  <si>
    <t>PALETARA  - AUT [26015050;CAU; MET; INMARSAT; AO09; FONDO ADAPTACION]</t>
  </si>
  <si>
    <t>LA GALERA [26217010;AO 01;FONDO ADAPTACION]</t>
  </si>
  <si>
    <t>SAN CAYETANO [23125170; AO11; FONDO ADAPTACION]</t>
  </si>
  <si>
    <t>SAN MARCOS - AUT [25025340; AO02; FONDO ADAPTACION]</t>
  </si>
  <si>
    <t>SAN PABLO TOLIMA  - AUT [21167060; TOL; HID; INMARSAT; AO10; FONDO ADAPTACION]</t>
  </si>
  <si>
    <t>SAN PEDRO - AUT [25017020; AO02; FONDO ADAPTACION]</t>
  </si>
  <si>
    <t>SANTA BARBARA [26185050;AO 01;FONDO ADAPTACION]</t>
  </si>
  <si>
    <t>SANTA MARIA - AUT [35085070; AO06; MET; GPRS; PURAC]</t>
  </si>
  <si>
    <t>SARDINATA [16035030; AO 08; MET; GPRS; FONDO ADAPTACION]</t>
  </si>
  <si>
    <t>SERRANIA DEL PERIJA  - AUT [28025120; CES; MET; INMARSAT; AO05; FONDO ADAPTACION]</t>
  </si>
  <si>
    <t>LA SIERRA - AUT [52025090; AO 07; MET; GPRS; FONDO ADAPTACION]</t>
  </si>
  <si>
    <t>SIETECUERALES - AUT [26157200; CAL; HID; INMARSAT; AO09; FONDO ADAPTACION]</t>
  </si>
  <si>
    <t>SILOE - AUT [26085160; AO 09; MET; GPRS; FONDO ADAPTACION]</t>
  </si>
  <si>
    <t>SINCERIN  - AUT [29035000; AO 02; MET; GPRS; FONDO ADAPTACION]</t>
  </si>
  <si>
    <t>LA ESMERALDA - AUT [21257090; TOL; HID; AO10; FONDO ADAPTACION]</t>
  </si>
  <si>
    <t>SONSON [26180180;AO 01;FONDO ADAPTACION]</t>
  </si>
  <si>
    <t>HACIENDA SANTA ANA [21205970; AO11]</t>
  </si>
  <si>
    <t>SANTA EMILIA - AUT [26145090; RIS; MET; INMARSAT; AO09; FONDO ADAPTACION]</t>
  </si>
  <si>
    <t>SANTA CRUZ DE SIECHA [21206980; AO11; FONDO ADAPTACION]</t>
  </si>
  <si>
    <t>EL DIAMANTE - AUT [36015020; CAS; MET; INMARSAT; AO06; FONDO ADAPTACION]</t>
  </si>
  <si>
    <t>NARINO - AUT [21237010; AO 10; HID; GPRS;]</t>
  </si>
  <si>
    <t>EL TABLAZO - AUT [26015010; AO 09; FONDO ADAPTACION]</t>
  </si>
  <si>
    <t>TADO - AUT [54017040; CHO; HID; GPRS; AO09; FONDO ADAPTACION]</t>
  </si>
  <si>
    <t>TESORITO FINCA  - AUT [26155170; AO 09; MET; GPRS; FONDO ADAPTACION]</t>
  </si>
  <si>
    <t>EL TESORO IDEAM  - AUT [25025280; AO 02; FONDO ADAPTACION]</t>
  </si>
  <si>
    <t>TIBU [16035010; NDS; MET; ROC; PM; AO08; H6; OCARVAJAL; 55-5; IPWD; R24; FNCM; ; ]</t>
  </si>
  <si>
    <t>TULENAPA [12015060;AO 01;FONDO ADAPTACION]</t>
  </si>
  <si>
    <t>TUNGUAVITA - AUT [24035430; AO06; MET; INMARSAT;  FONDO ADAPTACION]</t>
  </si>
  <si>
    <t>TURBO [12025040;AO 01;FONDO ADAPTACION]</t>
  </si>
  <si>
    <t>UNIVERSIDAD TECNOLOGICA  - AUT [15015120; AO 05; MET; GPRS; FONDO ADAPTACION]</t>
  </si>
  <si>
    <t>UNGUIA [11135030;AO 01;FONDO ADAPTACION]</t>
  </si>
  <si>
    <t>UNIVERSIDAD DE NARINO  - AUT [52045080; AO 07 ; FONDO ADAPTACION]</t>
  </si>
  <si>
    <t>UNIVERSIDAD DEL VALLE  - AUT [26055120; AO 09; MET; GPRS; FONDO ADAPTACION]</t>
  </si>
  <si>
    <t>UNIVERSIDAD FRANCISO DE PAULA SANTANDER - AUT [16015110; AO 08; MET; GPRS; FONDO ADAPTACION]</t>
  </si>
  <si>
    <t>UNIVERSIDAD DE PAMPLONA  - AUT [16015120; AO 08; MET; GPRS; FONDO ADAPTACION]</t>
  </si>
  <si>
    <t>CANTERAS - AUT [23087210; ANT; HID; INMARSAT; AO10; FONDO ADAPTACION]</t>
  </si>
  <si>
    <t>LA FONDA - AUT [52017030; AO-07; HID; GPRS; FONDO ADAPTACION]</t>
  </si>
  <si>
    <t>MOLINOS - AUT [2601700104; AO 09; HID; GPRS; FONDO ADAPTACION]</t>
  </si>
  <si>
    <t>VILLA INES [21205940; AO11; FONDO ADAPTACION]</t>
  </si>
  <si>
    <t>VILLA TERESA [21206920; AO11; FONDO ADAPTACION]</t>
  </si>
  <si>
    <t>VILLETA [23065180; AO 11; FONDO ADAPTACION]</t>
  </si>
  <si>
    <t>VISTA HERMOSA - AUT [3206500059;AO 03;FONDO ADAPTACION]</t>
  </si>
  <si>
    <t>VIVERO SURATA  - AUT [23195090; AO 08; MET; GPRS; FONDO ADAPTACION]</t>
  </si>
  <si>
    <t>VIZCAINA LA LIZAMA  - AUT [24055080; AO 08; MET; GPRS; FONDO ADAPTACION]</t>
  </si>
  <si>
    <t>ANDAQUI  - AUT [44017110; PUT; HID; GOES: CB1BA136; AO07; FONDO ADAPTACION]</t>
  </si>
  <si>
    <t>ZARAGOZA - AUT [26105250; AO 09; MET; GPRS; FONDO ADAPTACION]</t>
  </si>
  <si>
    <t>ZETAQUIRA - AUT [35085060; AO 06; MET; GPRS; FONDO ADAPTACION]</t>
  </si>
  <si>
    <t>UNIVERSIDAD UNAD CARTAGENA - AUT   [1206500136; AO 02; FONDO ADPTACION ]</t>
  </si>
  <si>
    <t>ITUANGO [2621500070;AO01;FONDO ADAPTACION]</t>
  </si>
  <si>
    <t>TUA BALNEARIO - AUT [3518700145;CAS; HID; INMARSAT; AO06; FONDO ADAPTACION]</t>
  </si>
  <si>
    <t>RETIRO [2308500071;AO 01;FONDO ADAPTACION]</t>
  </si>
  <si>
    <t>BARRANQUILLITA [12017020;AO 01;FONDO ADAPTACION]</t>
  </si>
  <si>
    <t>LA GARRUCHA [23087190; ANT; HID; INMARSAT; AO01; FONDO ADAPTACION]</t>
  </si>
  <si>
    <t>DABEIBA 2 [11117050; AO-01;FONDO ADAPTACION]</t>
  </si>
  <si>
    <t>ABRIAQUI [1111500036; AO 01;FONDO ADAPTACION]</t>
  </si>
  <si>
    <t>COTOCA ABAJO  - AUT [13077060; AO 02; FONDO ADAPTACION]</t>
  </si>
  <si>
    <t>VALLE ALTO [26180250;AO 01;FONDO ADAPTACION]</t>
  </si>
  <si>
    <t>HACIENDA PALMIRA [26247010;AO 01;FONDO ADAPTACION]</t>
  </si>
  <si>
    <t>EL RETIRO - AUT [27037020;AO 01;AUTOPISTAS NORDESTE]</t>
  </si>
  <si>
    <t>SALGAR [2619700161;AO 01;FONDO DE ADAPTACIÓN]</t>
  </si>
  <si>
    <t>EL SIETE [11027030; AO 01; FONDO ADAPTACION]</t>
  </si>
  <si>
    <t>MARGENTO [25027050;AO 01;FONDO ADAPTACION]</t>
  </si>
  <si>
    <t>CRISTO REY  - AUT [12045020; AO 02; FONDO ADAPTACION]</t>
  </si>
  <si>
    <t>JUAN JOSE - AUT   [2501500120; AO02; FONDO DE ADAPTACIÓN]</t>
  </si>
  <si>
    <t>GUADUALITO - AUT [3518500127; MET;  AO06; CAMPBELL]</t>
  </si>
  <si>
    <t>LOMA VERDE - AUT [1303500074; AO02; FONDO ADAPTACION]</t>
  </si>
  <si>
    <t>PICA PICA  - AUT [25017030; COR; HID; GOES: CB1EE5FC; AO02; FONDO ADAPTACION]</t>
  </si>
  <si>
    <t>PLANTA ECOPETROL - AUT   [2502700153; AO02;  ]  SINIESTRO: BRAZO+NIVEL+BATERIA</t>
  </si>
  <si>
    <t>SANTA ROSA  - AUT [44017070; CAU; HID; INMARSAT; AO07; FONDO ADAPTACION]</t>
  </si>
  <si>
    <t>PUENTE CARRETERA - AUT [35027140;AO 03;FONDO ADAPTACION]</t>
  </si>
  <si>
    <t>GUAYURIBA - AUT [3502700090;AO 03;FONDO ADAPTACION]</t>
  </si>
  <si>
    <t>EL CALVARIO - AUT [3503500062;AO 03;FONDO ADAPTACION]</t>
  </si>
  <si>
    <t>PUENTE COHETANDO - AUT   [2105700099;CAU;HID;LM;N;AO04; H8; JISOLANO; 55-5; IPWD; R24;FNCM; ; ]</t>
  </si>
  <si>
    <t>PAICOL - AUT [21057060; AO 04; HID; GPRS; FONDO ADAPTACION]</t>
  </si>
  <si>
    <t>SANTA MARIA  - AUT [21127030; AO 04; HID; GPRS; FONDO ADAPTACION]</t>
  </si>
  <si>
    <t>CASCADA SIMON BOLIVAR  - AUT [21017030; AO 04; HID; GPRS; FONDO ADAPTACION]</t>
  </si>
  <si>
    <t>SUCRE - AUT   [4403700097; CAQ; HID; GOES: CB10C9AA; AO04; FONDO ADAPTACION]</t>
  </si>
  <si>
    <t>MONIQUIRA  - AUT [24017600; AO 06; HID; GPRS; FONDO ADAPTACION]</t>
  </si>
  <si>
    <t>MAGUARE - AUT [46035010; CAQ; MET; INMARSAT; AO04; FONDO ADAPTACIÓN]</t>
  </si>
  <si>
    <t>LA ESPERANZA - AUT [21097120; AO 04; HID; GPRS; FONDO ADAPTACION]</t>
  </si>
  <si>
    <t>SANTA ANA - AUT [21145080; AO 04; MET; GPRS; FONDO ADAPTACION]</t>
  </si>
  <si>
    <t>CURUMANÍ - AUT [2805500075; AO 05; MET; GPRS; FONDO ADAPTACION]</t>
  </si>
  <si>
    <t>SAN LORENZO  - AUT [15015060; AO05; FONDO ADAPTACION]</t>
  </si>
  <si>
    <t>RIO MANZANARES ALERTAS - AUT   [1501700160; MAG; HID; LG; N; AO05; H10; JSOLANO; 50-05; IPWD; R24; ; ; ]</t>
  </si>
  <si>
    <t>BRISAS DEL NECHI [27027060;AO 01;FONDO ADAPTACION]</t>
  </si>
  <si>
    <t>CHEMESQUEMENA - AUT [28017150; AO05; FONDO ADAPTACION]</t>
  </si>
  <si>
    <t>PALMOR - SIERRA NEVADA - AUT [2906500077; MAG; MET; INMARSAT; AO05; FONDO ADAPTACION]</t>
  </si>
  <si>
    <t>PUENTE SALGUERO  - AUT [28037030; AO 05; HID; GPRS; FONDO ADAPTACION]</t>
  </si>
  <si>
    <t>CARACOLI [28030190; AO 05; FONDO ADAPTACION]</t>
  </si>
  <si>
    <t>GUATAPURI [28035070; CES; MET; CP; AO05; H5; JSOLANO; 50-5; ; R24; FNCM; ; ]</t>
  </si>
  <si>
    <t>GANADERIA CARIBE  - AUT [29067150;AO05; FONDO ADAPTACION]</t>
  </si>
  <si>
    <t>PANELAS [24010840; BOY; MET; GPRS_WIFI; AO06; FONDO ADAPTACION]</t>
  </si>
  <si>
    <t>LA SIERRA - AUT [24025030; BOY; MET; AO06; FONDO ADAPTACION]</t>
  </si>
  <si>
    <t>SIACHOQUE [24030140; BOY; MET;  AO06; FONDO ADAPTACION]</t>
  </si>
  <si>
    <t>PESCA - AUT [24030120; BOY; MET; GPRS; AO06; FONDO ADAPTACION]</t>
  </si>
  <si>
    <t>EL PALO - AUT [24037030;  AO06; HID; GPRS; FONDO ADAPTACION]</t>
  </si>
  <si>
    <t>MONGUA [24030560; BOY; MET;; AO06; FONDO ADAPTACION]</t>
  </si>
  <si>
    <t>SUSA - AUT [2403500085; BOY; MET; INMARSAT; AO06; FONDO ADAPTACION]</t>
  </si>
  <si>
    <t>PUENTE TOTUMO  - AUT [24037490; AO06; HID;  FONDO ADAPTACION]</t>
  </si>
  <si>
    <t>GUAICARAMO - AUT [35107040;AO 03;FONDO ADAPTACION;SINIESTRO]</t>
  </si>
  <si>
    <t>EL EDEN - AUT [47017070;AO 07;FONDO ADAPTACION]</t>
  </si>
  <si>
    <t>SAN SALVADOR - AUT   [3602700101; A0 06; HID; GPRS; FONDO ADAPTACION ]</t>
  </si>
  <si>
    <t>PARQUE ARQUEOLOGICO - AUT [21015030; HUI; MET; GPRS; AO04; FONDO ADAPTACION]</t>
  </si>
  <si>
    <t>LA GRUTA  - AUT [24037080; AO06; HID;  FONDO ADAPTACION]</t>
  </si>
  <si>
    <t>MANI - AUT   [3519700092; AO 06; HID; GPRS; FONDO ADAPTACION ]</t>
  </si>
  <si>
    <t>VADO HONDO  - AUT [35197020;AO06; HID; GOES; FONDO ADAPTACION]</t>
  </si>
  <si>
    <t>PUENTE SEVILLA  - AUT [29067160; AO05;  ORDEN PUBLICO]</t>
  </si>
  <si>
    <t>UNIVERSIDAD PEDAGÓGICA Y TECNOLÓGICA DE COLOMBIA TUNJA - AUT [2401500086; BOY; MET; WIFI; AO06; FONDO ADAPTACION]</t>
  </si>
  <si>
    <t>SAN MARCOS  - AUT [21037020; HUI; HID; INMARSAT; AO04; FONDO ADAPTACION]</t>
  </si>
  <si>
    <t>CHITA  - AUT [24035250; AO 06; MET; GPRS; FONDO ADAPTACION]</t>
  </si>
  <si>
    <t>PUENTE CHAMEZA  - AUT [24037290; AO06; HID; GPRS;  FONDO ADAPTACION]</t>
  </si>
  <si>
    <t>TEATINOS [35070310; BOY; MET; INMARSAT; AO06; FONDO ADAPTACION]</t>
  </si>
  <si>
    <t>RESERVA NATURAL LA PLANADA - AUT   [5102500128; AO 07; FONDO ADAPTACIÓN]</t>
  </si>
  <si>
    <t>PUENTE LOS DOLORES - AUT  [5204700100;AO 07;FONDO ADAPTACION]</t>
  </si>
  <si>
    <t>EL ENCANO - AUT [47015100; AO 07;FONDO ADAPTACION]</t>
  </si>
  <si>
    <t>APONTE [52040050;AO 07;FONDO ADAPTACION]</t>
  </si>
  <si>
    <t>LAS IGLESIAS  - AUT [5205500123; GOES; AO07; ]</t>
  </si>
  <si>
    <t>MORELIA  - AUT [44037080; AO 04; HID; GPRS; FONDO ADAPTACION]</t>
  </si>
  <si>
    <t>SANTIAGO - AUT   [52020070; AO07;]</t>
  </si>
  <si>
    <t>PUERTO LEON - AUT [16027060; NDS; HID; INMARSAT; AO08; FONDO ADAPTACION]</t>
  </si>
  <si>
    <t>ARBOLEDAS - AUT   [1602500110; AO 08; MET; GPRS; FONDO ADAPTACION ]</t>
  </si>
  <si>
    <t>CHINACOTA - AUT   [3701500114; AO 08; MET; GPRS; FONDO ADAPTACION]</t>
  </si>
  <si>
    <t>AGUAS CLARAS  - AUT [16017010; NDS; HID; INMARSAT; AO08; FONDO ADAPTACION]</t>
  </si>
  <si>
    <t>PUERTO BARCO-GABARRA - AUT [16067010; NDS; HID; INMARSAT; AO08; FONDO ADAPTACION]</t>
  </si>
  <si>
    <t>VETAS - AUT   [2319500137; SAN; MET; CP; N; AO08; H10; GCAICEDO; 45-15; IPWD; R24; ; ; ]</t>
  </si>
  <si>
    <t>POLIDEPORTIVO CACHIRA - AUT   [2319500125; AO 08; MET; GPRS; FONTO ADAPTACION]</t>
  </si>
  <si>
    <t>PUENTE LOPEZ - AUT [37017040; NDS; HID; INMARSAT; AO08; FONDO ADAPTACION]</t>
  </si>
  <si>
    <t>PEÑA DE LOS MICOS - AUT [37027010; NDS; HID; INMARSAT; AO08; FONDO ADAPTACION]</t>
  </si>
  <si>
    <t>PASO DE LA CANOA - AUT [37037010; BOY; HID; INMARSAT; AO08; FONDO ADAPTACION]</t>
  </si>
  <si>
    <t>CAMPO HERMOSO - AUT   [3702500113; NDS; MET; CP; N; AO08; H8; DOSPINA; 55-5; IPWD; R24; FNCM]</t>
  </si>
  <si>
    <t>PUENTE GUILLERMO - AUT  [2401500052; AO 08; MET; GPRS; FONDO ADAPTACION]</t>
  </si>
  <si>
    <t>PUENTE NACIONAL - AUT [24017590; AO 08; HID; GPRS; FONDO ADAPTACION]</t>
  </si>
  <si>
    <t>LAS MINAS - AUT   [2401700091;SAN;HID;LG;N;AO08;H8; GCAICEDO; 55-5; IPWD; R24;FNCM; ;]</t>
  </si>
  <si>
    <t>EL PARAMO - AUT [24030680; SAN; MET; CP; N; AO08; H7; DOSPINA; 0; IPWD; R24;FNCM; ; ]</t>
  </si>
  <si>
    <t>EL PORTILLO - AUT   [3701500117; NDS; MET; CP; N; AO08; H6; OCARVAJAL; 0; IPWD; R24; FNCM; ; ]</t>
  </si>
  <si>
    <t>LLANO GRANDE  - AUT [23195110; AO 08; MET; GPRS; FONDO ADAPTACION]</t>
  </si>
  <si>
    <t>LAS BRISAS - AUT [26155150; CAL; MET;WIFI; AO09; FONDO ADAPTACION]</t>
  </si>
  <si>
    <t>ASTILLEROS - AUT [16027280; NDS; HID; INMARSAT; AO08; FONDO ADAPTACION]</t>
  </si>
  <si>
    <t>PALO GRANDE - AUT   [1605700152;NDS;HID;LG;N;AO08;H8; GCAICEDO; 40-10; IPWD; R24;FNCM;5.8.8; ]</t>
  </si>
  <si>
    <t>LA BODEGA - AUT [23107020; ANT; HID; INMARSAT; AO08; FONDO ADAPTACION]</t>
  </si>
  <si>
    <t>SAN JUAN DE LOS CHORROS - AUT   [2319700096;SAN;HID;LG;N;AO08; ]</t>
  </si>
  <si>
    <t>MAJADAS - AUT [23197700; AO 08; HID; GPRS;  FONDO ADAPTACION]</t>
  </si>
  <si>
    <t>FLORIDABLANCA - AUT   [2319500043; AO 08; MET; GPRS; FONDO ADAPTACION]</t>
  </si>
  <si>
    <t>TONA  - AUT [23190130; AO 08; MET; GPRS; FONDO ADAPTACION]</t>
  </si>
  <si>
    <t>ARAUCA TERMINAL - AUT [3706500109; AO 08; MET; GPRS; FONDO ADAPTACION]</t>
  </si>
  <si>
    <t>CINERA-VILLA OLGA [16025040; AO 08; MET; GPRS; FONDO ADAPTACION ]</t>
  </si>
  <si>
    <t>PUENTE SARDINATA - AUT [16037030; NDS; HID; INMARSAT; AO08; FONDO ADAPTACION]</t>
  </si>
  <si>
    <t>LA MARIA - AUT [16040050; NDS; MET; INMARSAT; AO08; FONDO ADAPTACION]</t>
  </si>
  <si>
    <t>PUENTE NEGRO  - AUT [26147140; AO 09; HID; GPRS; FONDO ADAPTACION]</t>
  </si>
  <si>
    <t>QUINCE LETRAS - AUT [16057040; NDS; HID; INMARSAT; AO08; FONDO ADAPTACION]</t>
  </si>
  <si>
    <t>SANTA ROSA  - AUT [23127060; SAN; HID; GOES; AO08; FONDO ADAPTACION]</t>
  </si>
  <si>
    <t>CACHIRI  - AUT [23195200; AO 08; MET; GPRS; FONDO ADAPTACION]</t>
  </si>
  <si>
    <t>CANELOS  - AUT [23205050; BOL; MET; INMARSAT; AO08; FONDO ADAPTACION]</t>
  </si>
  <si>
    <t>EL JUNCAL - AUT   [2405700149; SAN; HID; LG; N; AO08; H9; GCAICEDO; 45-15; IPWD; R24; ; ; ]</t>
  </si>
  <si>
    <t>PUENTE ARAGON  - AUT [26017060; CAU; HID; INMARSAT; AO09; FONDO ADAPTACION]</t>
  </si>
  <si>
    <t>SANTA LUCIA - AUT   [2610500131;VDC;MET; CP;N;AO09;H8; JSOCAMPO; 45-15; IPWD; R24;FNCM; ;]</t>
  </si>
  <si>
    <t>LA ESPERANZA ANDALUCIA - AUT   [2615500122; GPRS; MET; AO09; FONDO DE ADAPTACION ]</t>
  </si>
  <si>
    <t>REMOLINO ALERTAS - EL VOLCAN - AUT   [2603500127; CAU; MET; CP; N; AO09; H6; DOSPINA; 45-15; IPWD; R24; FNCM; ; ]</t>
  </si>
  <si>
    <t>PUENTE CARRETERA [52017100; AO 07; ORDEN PUBLICO]</t>
  </si>
  <si>
    <t>IRRA  - AUT [26167070; AO 09; HID; GPRS; FONDO ADAPTACION]</t>
  </si>
  <si>
    <t>PUENTE CARRETERA  - AUT [26027200; CAU; HID; INMARSAT; AO09; FONDO ADAPTACION]</t>
  </si>
  <si>
    <t>GUAYABAL - AUT   [2633700150; AO 09; HID; GPRS; FONDO ADAPTACIÓN ]</t>
  </si>
  <si>
    <t xml:space="preserve">PUENTE ZACARIAS - AUT   [5311700154; VDC; HID; LG; N; AO09; H9; GCAICEDO; 55-5; IPWD; R24; FNCM]  </t>
  </si>
  <si>
    <t>CAUCA ALTO - AUT   [2602700148; CAU; HID; LG; N; AO09; H5; DROJAS; 50-10; IPWD; R24; FNCM; ; ]</t>
  </si>
  <si>
    <t>RIO FRIO - AUT   [2611700158;HID;AO09 ]</t>
  </si>
  <si>
    <t>MONOPAMBA  - AUT [47017110; AO07; FONDO ADAPTACION]</t>
  </si>
  <si>
    <t>REMOLINO - AUT   [2603700157; CAU; HID; LG; N; AO09; H6; DOSPINA; 50-5; IPWD; R24; FNCM; ; ]</t>
  </si>
  <si>
    <t>UNIVERSIDAD DE LA SABANA [2120500135; AO11; FONDO ADAPTACION]</t>
  </si>
  <si>
    <t>EL JARDIN CUENCA ALTA RIO RISARALDA - AUT[2614500116;AO 01;FONDO ADAPTACION]</t>
  </si>
  <si>
    <t>POTREROS - AUT   [2613500126; AO 09; MET; GPRS; FONDO ADAPTACION]</t>
  </si>
  <si>
    <t>CRQ ARMENIA - AUT [2612500038; AO 09; MET; GPRS; FONDO ADAPTACION]</t>
  </si>
  <si>
    <t>VEGA EL SALADO  - AUT [21057050; AO 04; HID; GPRS; FONDO ADAPTACION]</t>
  </si>
  <si>
    <t>PUEBLO RICO  - AUT [54015010; RIS; MET; INMARSAT; AO09; FONDO ADAPTACION]</t>
  </si>
  <si>
    <t>TORIBIO ALERTAS   TORIBIO - AUT   [2604500134; CAU; MET; INMARSAT; AO09; FONDO ADAPTACION]</t>
  </si>
  <si>
    <t>PUENTE CARRETERA  - AUT [21137030; HUI; HID; INMARSAT; AO04; FONDO ADAPTACION]</t>
  </si>
  <si>
    <t>GUACHAL PALMASECA - AUT   [2633500119; AO 09; HID; GPRS; FONDO ADAPTACION]</t>
  </si>
  <si>
    <t>HACIENDA LA GRACIOSA - AUT   [2636700098; AO 09; HID; GPRS; FONDO ADAPTACION]</t>
  </si>
  <si>
    <t>SALENTO - AUT   [2612500130; AO 09; MET; GPRS; FONDO ADAPTACION]</t>
  </si>
  <si>
    <t>PIJAO - AUT   [2612500124;AO 09; MET; GPRS; FONDO ADAPTACION]</t>
  </si>
  <si>
    <t>PICUDO EL [47017170; AO 07;FONDO ADAPTACION]</t>
  </si>
  <si>
    <t>GUACHACA - AUT   [1509500118; MAG; MET; CP; N; AO05; H10; JSOLANO; 55-5; IPWD; R24;  RELE]</t>
  </si>
  <si>
    <t>LA CUMBRE - AUT   [5311500121; AO 09; MET; GPRS; FONDO ADAPTACION]</t>
  </si>
  <si>
    <t>LA MURALLA - AUT [22057060; AO10; PROCESO DE SUSPENSIÓN]</t>
  </si>
  <si>
    <t>LA NUEVA - AUT [21257100; AO 10; HID; GPRS; FONDO ADAPTACION]</t>
  </si>
  <si>
    <t>EL SILENCIO - AUT   [2121500042; TOL; MET; INMARSAT; AO10; FONDO ADAPTACION]</t>
  </si>
  <si>
    <t>CUCUNUBA  - AUT [21187030; TOL; HID; INMARSAT; AO10; FONDO ADAPTACION]</t>
  </si>
  <si>
    <t>GUALÍ ALERTAS - AUT   [2301700089; AO 10; HID; GPRS; FONDO ADAPTACION]</t>
  </si>
  <si>
    <t>CARRASPOSO  - AUT [21147030; HUI; HID; INMARSAT; AO04; FONDO ADAPTACION]</t>
  </si>
  <si>
    <t>PLANADAS - AUT   [2202500051; TOL; MET; INMARSAT; AO10; FONDO ADAPTACION]</t>
  </si>
  <si>
    <t>LA CEIBA - AUT [24017640; AO 08; HID; GPRS; FONDO ADAPTACION]</t>
  </si>
  <si>
    <t>RECIO 1 - AUT   [2125700094;TOL;HID;LG;N;AO10;H8; DOSPINA; 0; IPWD; R24;FNCM; ; ]</t>
  </si>
  <si>
    <t>SAN JOSE DE PENSILVANIA - AUT   [2305500055; AO 10; MET; GPRS; FONDO ADAPTACION ]</t>
  </si>
  <si>
    <t>PUERTO BELLO  - AUT [23087230; ANT; HID; INMARSAT; AO10; FONDO ADAPTACION]</t>
  </si>
  <si>
    <t>CARMEN DE CARUPA [24015380; AO11; FONDO ADAPTACION]</t>
  </si>
  <si>
    <t>PARAMO ALTO [2120500050; AO11; FONDO ADAPTACION]</t>
  </si>
  <si>
    <t>VILLETA [23067070; AO 11; FONDO ADAPTACION]</t>
  </si>
  <si>
    <t>UNIVERSIDAD DE LA SABANA [2120700146; AO11; FONDO ADAPTACIÓN]</t>
  </si>
  <si>
    <t>SAN JOAQUIN [2120700162;  AO11; FONDO DE ADAPTACIÓN]</t>
  </si>
  <si>
    <t>ALTO DEL TRIGO -   [2306500106; AO11; FONDO ADAPTACION]</t>
  </si>
  <si>
    <t>YACOPI [23065110;  AO11; FONDO ADAPTACION]</t>
  </si>
  <si>
    <t>PIJAITO  - AUT [22077050; TOL; HID; INMARSAT; AO10; FONDO ADAPTACION]</t>
  </si>
  <si>
    <t>CARAZA [35027100; AO 11; FONDO ADAPTACION]</t>
  </si>
  <si>
    <t>SAN PEDRO  - AUT [52057050; NAR; HID; GOES: CB1EB580; AO07; FONDO ADAPTACION]</t>
  </si>
  <si>
    <t>QUITASUEÑO [26187040;AO 01;FONDO ADAPTACION]</t>
  </si>
  <si>
    <t>REMOLINO - MAG - AUT   [2904700095; AO 02; FONDO ADAPTACION]</t>
  </si>
  <si>
    <t>TOBIA [23067060; AO 11; FONDO ADAPTACION]</t>
  </si>
  <si>
    <t>GAMARRA - AUT [23217080; AO 08; HID; GPRS; FONDO ADAPTACION]</t>
  </si>
  <si>
    <t>BOLOMBOLO [26207080;AO 01;FONDO ADAPTACION]</t>
  </si>
  <si>
    <t>GRANJA EXPERIMENTAL EL NUS [23085080;AO 01;FONDO ADAPTACION]</t>
  </si>
  <si>
    <t>ESCUELA NAVAL CIOH - AUT [14019030; AO02; CANAL DEL DIQUE]</t>
  </si>
  <si>
    <t>GUAJARO EMBALSE AUT [12067001; A0 02; CANAL DEL DIQUE]</t>
  </si>
  <si>
    <t>LEQUERICA - AUT - AUT [29057002; AO02; CANAL DEL DIQUE]</t>
  </si>
  <si>
    <t>MACHADO  AUT [29057003; AO02; CANAL DEL DIQUE]</t>
  </si>
  <si>
    <t>SAN CRISTOBAL - AUT [29057001; AO02; CANAL DEL DIQUE]</t>
  </si>
  <si>
    <t>SANTA HELENA..  - AUT  [29057004; AO02; CANAL DEL DIUE]</t>
  </si>
  <si>
    <t>CARIMAGUA - AUT [33035010;AO 03;TERRITORIOS VERDES]</t>
  </si>
  <si>
    <t>CEIBAL EL [35097080;  AO06; HID; GOES IDEAM] SINIESTRO</t>
  </si>
  <si>
    <t>LAS VARAS [25027200;AO 01;IDEAM]</t>
  </si>
  <si>
    <t>LA COQUERA [26247020;AO 01;IDEAM]</t>
  </si>
  <si>
    <t>EL ALAMBRADO [26127010; QUIN; HID; GOES: CB05842C; AO09; IDEAM]</t>
  </si>
  <si>
    <t>MITU [42077020;AO 03;FONDO ADAPTACION]</t>
  </si>
  <si>
    <t>PUERTO ARAUJO - AUT [23127020; SAN; HID; LG; AO08; OTT; GOES: CB0F9608; HX; IDEAM]</t>
  </si>
  <si>
    <t>PIPIGUAY [51027050; AO 07 ; IDEAM]</t>
  </si>
  <si>
    <t>GRANJA EL MIRA - AUT [51025090; AO 07;IDEAM]</t>
  </si>
  <si>
    <t>VILLARREAL [44197020; AO11; IDEAM]</t>
  </si>
  <si>
    <t>AEROPUERTO LA NUBIA [26155110; AO 09; MET; GPRS, FONDO ADAPTACION]</t>
  </si>
  <si>
    <t>OROCUE BRAZO DERECHO [35227070;AO 03;PAREX 4]</t>
  </si>
  <si>
    <t>BELLAVISTA [11080010;AO 01;PROYECTO CHOCO]</t>
  </si>
  <si>
    <t>LITORAL SAN JUAN - AUT  [54057020; VDC; HID; GOES:CB11A064; AO09; PROYECTO CHOCO]</t>
  </si>
  <si>
    <t>CARMEN DEL DARIEN [11105020;AO 01;PROCESO DE SUSPENSIÓN]</t>
  </si>
  <si>
    <t>BAGADO [11017020; AO 01;SINIESTRO; PROCESO DE SUSPENCIÓN]</t>
  </si>
  <si>
    <t>UNION PANAMERICANA - AUT  [11035030; AO 09; GPRS; PROYECTO CHOCO]</t>
  </si>
  <si>
    <t>BAJO BAUDO - AUT  [55015020; CHO; MET; GOES:CB03C7E8; AO09; PROYECTO CHOCO]</t>
  </si>
  <si>
    <t>NOVITA [54020020; AO 09; MET; GPRS; PROYECTO CHOCO]</t>
  </si>
  <si>
    <t>NUQUI [56010040;AO 01;PROYECTO CHOCO]</t>
  </si>
  <si>
    <t>RIOSUCIO [11120040;AO 01;PROYECTO CHOCO]</t>
  </si>
  <si>
    <t>JURADO [56015040;AO 01;PROCESO DE SUSPENSIÓN]</t>
  </si>
  <si>
    <t>RIO CHIQUITO [21057130; CAU; HID; LG; AO04; GOES: CB128186]</t>
  </si>
  <si>
    <t>CAMPO ALEGRE [1111500203;AO 01;AUTOPISTAS AL MAR 2]</t>
  </si>
  <si>
    <t>Codigo antiguo</t>
  </si>
  <si>
    <t>C_GRAMALOTE - AUT   [1602500044; AO 08; MET; GPRS; FONDO ADAPTACION]</t>
  </si>
  <si>
    <t>C_AEROPUERTO FURATENA  - AUT [23125140; AO06; MET; FONDO ADAPTACION]</t>
  </si>
  <si>
    <t>C_CHINAVITA - AUT [35075070; AO 06; MET; GPRS;  FONDO ADAPTACION]</t>
  </si>
  <si>
    <t>C_MURILLO - AUT [21255170; AO 10; MET; GPRS; FONDO ADAPTACION]</t>
  </si>
  <si>
    <t>C_EL PEPINO - AUT [44015070;AO 07;FONDO ADAPTACION]</t>
  </si>
  <si>
    <t>C_PIE DE PATO - AUT [55015010; AO 09; MET; GPRS; FONDO ADAPTACION]</t>
  </si>
  <si>
    <t>C_QUIBDO [11047020; AO 01;FONDO ADAPTACION]</t>
  </si>
  <si>
    <t>C_SALINAS DE UPIN - AUT [35035110;AO 03;FONDO ADAPTACION]</t>
  </si>
  <si>
    <t>C_SOCHA - AUT [24035360;AO 06; MET; GPRS; FONDO ADAPTACION]</t>
  </si>
  <si>
    <t>C_VIENTO LIBRE - AUT [52035040;AO 07;FONDO ADAPTACION]</t>
  </si>
  <si>
    <t>C_LA JOSEFINA - AUT [52055170; AO 07;FONDO ADAPTACIÓN]</t>
  </si>
  <si>
    <t>C_SOGAMOSO - AUT [24035410;  AO 06; MET; GPRS; FONDO ADAPTACION]</t>
  </si>
  <si>
    <t>C_SANTA ISABEL VALDIVIA [26255030;AO 01;FONDO ADAPTACION]</t>
  </si>
  <si>
    <t>C_VOLCAN CHILES  - AUT [52055160; AO07; FONDO ADAPTACION]</t>
  </si>
  <si>
    <t>C_PIEDRA LISA II  - AUT [44017120; AO 07; FONDO ADAPTACION]</t>
  </si>
  <si>
    <t>C_SAHAGUN  [25020140; AO 02;FONDO ADAPTACION]</t>
  </si>
  <si>
    <t>C_PUENTE REAL [23087150</t>
  </si>
  <si>
    <t>C_CCCP DL PACIFICO [51035020; AO 07; MET; FONDO ADAPTACION]</t>
  </si>
  <si>
    <t>C_TUMACO - AUT [51039010; AO 07; FONDO ADAPTACION]</t>
  </si>
  <si>
    <t>C_LA VORAGINE - AUT   [2629700151; AO 09; HID; GPRS; FONDO ADAPTACION]</t>
  </si>
  <si>
    <t>C_PUERTO LIBRE  - AUT [23067040; AO 10; HID; GPRS; FONDO ADAPTACION]</t>
  </si>
  <si>
    <t>C_PUENTE CHACON  - AUT [24017740; AO06; HID; GOES; FONDO ADAPTACION]</t>
  </si>
  <si>
    <t>SAN MIGUEL [2119700147]</t>
  </si>
  <si>
    <t>NATAGA  - AUT [21050090]</t>
  </si>
  <si>
    <t>PARQUE RAFAEL NÚÑEZ [35027002]</t>
  </si>
  <si>
    <t>BALBOA - AUT [52010020; AO07; FONDO ADAPTACION]</t>
  </si>
  <si>
    <t>13027040]</t>
  </si>
  <si>
    <t>Estado</t>
  </si>
  <si>
    <t>Estación</t>
  </si>
  <si>
    <t>Tipo</t>
  </si>
  <si>
    <t>Red</t>
  </si>
  <si>
    <t>Propietario</t>
  </si>
  <si>
    <t>Los datos más recientes</t>
  </si>
  <si>
    <t>ACUEDUCTO MOCOA - AUT [44015060; AO07; FONDO ADAPTACION]</t>
  </si>
  <si>
    <t>METEOROLÓGICA</t>
  </si>
  <si>
    <t>AO-07</t>
  </si>
  <si>
    <t>2026-09-18 07:20</t>
  </si>
  <si>
    <t>AO-08</t>
  </si>
  <si>
    <t>2026-09-18 07:10</t>
  </si>
  <si>
    <t>2026-09-18 01:10</t>
  </si>
  <si>
    <t>HIDROLÓGICA</t>
  </si>
  <si>
    <t>SUSPENSION</t>
  </si>
  <si>
    <t>AO-04</t>
  </si>
  <si>
    <t>AO-01</t>
  </si>
  <si>
    <t>2026-09-18 06:00</t>
  </si>
  <si>
    <t>AO-06</t>
  </si>
  <si>
    <t>ARGELIA ANTIOQUIA [23050420; AO 01; GPRS; FONDO ADAPTACION ]</t>
  </si>
  <si>
    <t>ARRAYANALES - AUT [26015040; AO09; IPWD;GOES; FNCM ]</t>
  </si>
  <si>
    <t>AO-09</t>
  </si>
  <si>
    <t>EL BANCO - AUT [25027020; AO02; FONDO ADAPTACION]</t>
  </si>
  <si>
    <t>AO-02</t>
  </si>
  <si>
    <t>BARRANCABERMEJA  - AUT [23157030; SAN; HID; INMARSAT; AO08; FONDO ADAPTACION]</t>
  </si>
  <si>
    <t>AO-11</t>
  </si>
  <si>
    <t>AO-05</t>
  </si>
  <si>
    <t>2026-09-17 13:30</t>
  </si>
  <si>
    <t>AO-10</t>
  </si>
  <si>
    <t>2026-09-18 02:50</t>
  </si>
  <si>
    <t>LA CABANA - AUT [16057030; NDS; HID; INMARSAT; AO08; FONDO ADAPTACION]</t>
  </si>
  <si>
    <t>2026-09-18 07:00</t>
  </si>
  <si>
    <t>MERIDA - AUT [24027070; AO 08; HID; GPRS; FONDO ADAPTACION]-SINIESTRO</t>
  </si>
  <si>
    <t>ORDEN PUBLICO</t>
  </si>
  <si>
    <t>JUANCHACO - AUT [54077210; VDC; MET; MG; INMARSAT;AO09; FONDO ADAPTACION]</t>
  </si>
  <si>
    <t>2026-09-18 00:00</t>
  </si>
  <si>
    <t>LA MINA CERREJON  - AUT [15065501; AO05; FONDO ADAPTACION]</t>
  </si>
  <si>
    <t>AO-03</t>
  </si>
  <si>
    <t>EL CABLE - AUT [35057010;AO 03;FONDO ADAPTACION;SINIESTRO]</t>
  </si>
  <si>
    <t>SINIESTRO</t>
  </si>
  <si>
    <t>SENDERO LAGUNA VERDE  - AUT [26155260; CAL; MET; INMARSAT; AO09; FONDO ADAPTACION]</t>
  </si>
  <si>
    <t>LA PAULINA - AUT [15065040; MET; GOES CB1462BA; AO05; FONDO ADAPTACION]</t>
  </si>
  <si>
    <t>PALOGORDO - AUT [23197690; SANT; HID; GOES: CB274528; AO08; FONDO ADAPTACION]</t>
  </si>
  <si>
    <t>LA PALOMERA - AUT [35185010;AO 03;FONDO ADAPTACION]</t>
  </si>
  <si>
    <t>PUENTE CAMPANA - AUT [3508700103]; BOY; HID; INMARSAT; AO06; FONDO ADAPTACION]</t>
  </si>
  <si>
    <t>PARAMO GUACHENEQUE [21206950; AO11; FONDO ADAPTACION]</t>
  </si>
  <si>
    <t>LA PRIMAVERA - AUT [21015040; AO 04; MET; GPRS; FONDO ADAPTACION]</t>
  </si>
  <si>
    <t>2026-09-18 06:40</t>
  </si>
  <si>
    <t>SANTA ROSITA [21209920; AO11; FONDO ADAPTACION]</t>
  </si>
  <si>
    <t>SARAVENA [37045010; AO 08; MET; GPRS; FONDO ADAPTACION]</t>
  </si>
  <si>
    <t>2026-09-18 06:10</t>
  </si>
  <si>
    <t>2026-09-17 15:20</t>
  </si>
  <si>
    <t>LA PLAYA [21197030; AO11]</t>
  </si>
  <si>
    <t>2026-09-17 14:50</t>
  </si>
  <si>
    <t>PUENTE SAN FRANCISCO  - AUT [21257070; TOL; HID; INMARSAT; AO10; FONDO ADAPTACION]</t>
  </si>
  <si>
    <t>TIBAITATA [21205420; AO 11; FONDO ADPTACIÓN ]</t>
  </si>
  <si>
    <t>TOROMANA - AUT [15085050; GUA; MET; GOES CB13837C; AO05; FONDO ADAPTACION]</t>
  </si>
  <si>
    <t>AEROPUERTO PUERTO BOLIVAR  -  AUT [15075501; AO 05; FONDO ADAPTACION]</t>
  </si>
  <si>
    <t>UNIVERSIDAD NACIONAL  [21205012; AO 11; FONDO ADAPTACION]</t>
  </si>
  <si>
    <t>2026-09-17 17:40</t>
  </si>
  <si>
    <t>PIEDRAS  - AUT [21227010; TOL; HID; GPRS; AO10; FONDO ADAPTACION]</t>
  </si>
  <si>
    <t>2026-09-17 10:00</t>
  </si>
  <si>
    <t>ANGOSTURAS [23197400; SAN; HID; LG AO08]</t>
  </si>
  <si>
    <t>HOBO - AUT [2901500072; AO 02; FONDO ADAPTACION]</t>
  </si>
  <si>
    <t>GALERAZAMBA  - AUT [14015010; AO 02; FONDO ADAPTACION; SINIESTRO]</t>
  </si>
  <si>
    <t>MEDINA - AUT [3505500061;AO 03;PAREX 2]</t>
  </si>
  <si>
    <t>BORBUR  - AUT [23127010; AO06]</t>
  </si>
  <si>
    <t>SAN ALFONSO  - AUT [21147010; HUI; HID; INMARSAT; AO04; FONDO ADAPTACION]</t>
  </si>
  <si>
    <t>TERMOGUAJIRA  - AUT [15035020; GUA; MET; GPRS; AO05; FONDO ADAPTACION]</t>
  </si>
  <si>
    <t>SAN ISIDRO BONDA - AUT   [1501500054; MAG; MET; INMARSAT; AO05; FONDO ADAPTACION]</t>
  </si>
  <si>
    <t>MINCA  - AUT [15017030; MAG; HID; GPRS; AO05; FONDO ADAPTACION]</t>
  </si>
  <si>
    <t>PALMARIGUANI  - AUT [28047050; MAG; HID; INMARSAT; AO05; FONDO ADAPTACION]</t>
  </si>
  <si>
    <t>PUERTO ESTRELLA - AUT [1508500053; GUA; MET; GPRS; AO05; FONDO ADAPTACION]</t>
  </si>
  <si>
    <t>ESCUELA AGRICOLA CARRAIPIA  - AUT [15085030; GUA; MET; GPRS; AO05; FONDO ADAPTACION]</t>
  </si>
  <si>
    <t>PUERTO RICO HACIENDA  - AUT [29067060; MAG; HID; GPRS; AO05; FONDO ADAPTACION]</t>
  </si>
  <si>
    <t>ESTACION DE PRUEBA  1 [11111111; GOES:CB100CB4]</t>
  </si>
  <si>
    <t>PRUEBAS</t>
  </si>
  <si>
    <t>PRUEBAS PRECIPITACION [22222222; GOES: CB1806C0]</t>
  </si>
  <si>
    <t>AYACUCHO - AUT [23147040; SAN; HID; INMARSAT; AO08; IDEAM]</t>
  </si>
  <si>
    <t>LA CAMPIÑA  [21209200; AO11; SINIESTRO]</t>
  </si>
  <si>
    <t>BELLAVISTA - JESUS MARIA - AUT   [2614500112; AO09;MET;INMARSAT]</t>
  </si>
  <si>
    <t>PUENTE ZACARIAS - AUT   [5311700154; VDC; HID; LG; N; AO09; H9; GCAICEDO; 55-5; IPWD; R24; FNCM]  BATT/PALMAS OBSTRUYEN/REQUIERE PODA/  MANTENER OBSERVADOR/ PROB ALTA AL VANDALISMO/SINIESTRO/ RETIRADA AO09</t>
  </si>
  <si>
    <t>BASE AEREA MELGAR [2119500111;  AO11; FONDO DE ADAPTACIÓN]</t>
  </si>
  <si>
    <t>HERRERA - AUT   [2201500047; TOL; MET; CP; N; AO10; H9; DOSPINA; 50-5; IPWD; R24; ; ;]</t>
  </si>
  <si>
    <t>PUERTO BOYACA - AUT   [2311700155; BOY; HID; LG; N; AO10; H10; D.OSPINA; VENTANA; IPWD; R24; ; ;]</t>
  </si>
  <si>
    <t>IBAGUE - AUT   [2121500048;TOL;MET;CP;N;AO10;H8; DOSPINA; 30-40; IPWD; R24;FNCM; ; GPRS:3142222327T; RETIRADA POR AO]</t>
  </si>
  <si>
    <t>BRASIL - AUT   [2302500037; CAL; MET; INMARSAT; AO01; FONDO ADAPTACION]</t>
  </si>
  <si>
    <t>CUCUNUBA [2401500040; AO 11; FONDO ADAPTACION]</t>
  </si>
  <si>
    <t>HACIENDA LA BONANZA [21197080; AO11; FONDO ADAPTACION]</t>
  </si>
  <si>
    <t>TUPARRO BOCAS - TOMO [34035010;AO 03;TERRITORIOS VERDES]</t>
  </si>
  <si>
    <t>LAS GAVIOTAS [34015010;AO 03;TERRITORIOS VERDES]</t>
  </si>
  <si>
    <t>MATUYA  - AUT  [29037007; AO02;CANAL DEL DIQUE; SINIESTRO]</t>
  </si>
  <si>
    <t>TAMBO EL - AUT  AUT [29037001; AO02; SINIESTRO]</t>
  </si>
  <si>
    <t>MARIA LA BAJA - AUT. [29057006; AO02; CANAL DEL DIQUE]</t>
  </si>
  <si>
    <t>PALOTAL - AUT [29037003; AO02; CANAL DEL DIQUE]</t>
  </si>
  <si>
    <t>CAPOTE - AUT [29037702; AO02; CANAL DEL DIQUE;SINIESTRO]</t>
  </si>
  <si>
    <t>GUAJARO COMPUERTAS [29037701; AO02; CANAL DE DIQUE;]</t>
  </si>
  <si>
    <t>BARRANCAVIEJA - AUT [14017702; AO02; CANAL DEL DIQUE]</t>
  </si>
  <si>
    <t>JOBO - AUT [29057005; AO02; CANAL DEL DIQUE]</t>
  </si>
  <si>
    <t>MAHATES - AUT [14017701; AO02; CANAL DEL DIQUE]</t>
  </si>
  <si>
    <t>JUAN GOMEZ - AUT [29037002; AO02; CANAL DEL DIQUE]</t>
  </si>
  <si>
    <t>GORGONA GUAPI [57025020;AO 07;IDEAM]</t>
  </si>
  <si>
    <t>LA ESPERANZA NECHI [27037010;AO 01;AUTOPISTAS NORDESTE]</t>
  </si>
  <si>
    <t>BRASILIA [26197020;AO01;IDEAM]</t>
  </si>
  <si>
    <t>CARTAGO [26127040; RIS; HID; GPRS: CB11FECA; AO09; IDEAM]</t>
  </si>
  <si>
    <t>SAN JUAN MIRA - AUT [51027060; AO07; IDEAM ]</t>
  </si>
  <si>
    <t>2026-09-18 05:00</t>
  </si>
  <si>
    <t>SAN JAVIER/PUENTE ZULIA - AUT [16027120; NDS; HID; GOES: CB10AC4C; AO08; IDEAM]</t>
  </si>
  <si>
    <t>LA DONJUANA - AUT [16017020; NDS; HID; GOES: CB0341FC;AO08; IDEAM]</t>
  </si>
  <si>
    <t>LA ESPERANZA [23017040; TOL; HID; GOES: CB286556; AO10; IDEAM]</t>
  </si>
  <si>
    <t>LA VIRGINIA - AUT [26177030; RIS; HID; GOES: 9430282A; AO09]</t>
  </si>
  <si>
    <t>EPM</t>
  </si>
  <si>
    <t>2026-09-18 07:09</t>
  </si>
  <si>
    <t>2026-09-18 03:00</t>
  </si>
  <si>
    <t>MONTEZUMA [21217180; AO 10; HID; GPRS; IDEAM]</t>
  </si>
  <si>
    <t>2026-09-18 06:50</t>
  </si>
  <si>
    <t>PURIFICACION - AUT [21137010; TOL; HID; GOES: CB156040; AO10]</t>
  </si>
  <si>
    <t>PUENTE CARRETERA [15067220; GUA; HID; GOES: 15C6C11A; AO05; IDEAM]</t>
  </si>
  <si>
    <t>PUEBLO BELLO [28047020;  AO05;IDEAM]</t>
  </si>
  <si>
    <t>PILISPI [51027020; AO 07 ; IDEAM]</t>
  </si>
  <si>
    <t>PIEDRANCHA - AUT [51020011;AO 07;IDEAM]</t>
  </si>
  <si>
    <t>NUEVA COLOMBIA [13057010; AO02; IDEAM]</t>
  </si>
  <si>
    <t>LAGUNA LA PLAZA [35095130;  AO06; MET; GOES; IDEAM]</t>
  </si>
  <si>
    <t>PUERTO NARINO [48015040; AO11]</t>
  </si>
  <si>
    <t>MONGUI - AUT [15065190; GUA; MET; GOES: CB0567DE; AO05; IDEAM]</t>
  </si>
  <si>
    <t>PUERTO INIRIDA - AUT [31095030; AO 03;IDEAM]</t>
  </si>
  <si>
    <t>BORAUDO [11027070;AO 01;IDEAM]</t>
  </si>
  <si>
    <t>PUERTO VALDIVIA [26237040;AO 01;IDEAM]</t>
  </si>
  <si>
    <t>BELEN [11047010;AO 01;IDEAM]</t>
  </si>
  <si>
    <t>EL SILENCIO - AUT [15067200; GUA; HID; GPRS; AO05; IDEAM]</t>
  </si>
  <si>
    <t>SABANALARGA - AUT [29045000; AO02; TEBSA 1]</t>
  </si>
  <si>
    <t>SAN PEDRITO - AUT [29047070; ATL; HID; GPRS; AO02; IDEAM]</t>
  </si>
  <si>
    <t>TEBSA BQUILLA [29047000; AO02; TEBSA 1]</t>
  </si>
  <si>
    <t>GUAYABETAL RIO NEGRO 2 - AUT [3502700147;AO 03]</t>
  </si>
  <si>
    <t>PLAZA DE FERIAS [35027001; AO11; IDEAM]</t>
  </si>
  <si>
    <t>PILCUAN [52057010;AO07; IDEAM]</t>
  </si>
  <si>
    <t>PUENTE TEXAS [47017160; AO O7; GEOPARK II ]</t>
  </si>
  <si>
    <t>LAS CAÑAS - AUT [2403000113; BOY; MET; GOES: CB0FC674; AO06; IDEAM]</t>
  </si>
  <si>
    <t>LAS MERCEDES - AUT [2403000114; BOY; MET; GOES: CB0FD502; AO06; IDEAM]</t>
  </si>
  <si>
    <t>2026-09-17 16:00</t>
  </si>
  <si>
    <t>PUENTE CASIANO - AUT [2403700148; BOY; HID; GOES: CB0FB0E4; AO06; IDEAM]</t>
  </si>
  <si>
    <t>PARQUE RAFAEL NUNEZ [35027002; AO11; IDEAM]</t>
  </si>
  <si>
    <t>CERCADO EL-AUTOMAT [15067020; GUA; HID; LG; AO05; OTT; GOES: CB02E3FE;  IDEAM]</t>
  </si>
  <si>
    <t>PUERTO BERRIO - AUT [23097030; ANT; HID; GPRS; AO08; IDEAM] SINIESTRO</t>
  </si>
  <si>
    <t>LOS ALAMOS - AUT [25025002; MAG; MET; GOES: CB107A24; AO05; TEBSA 1]</t>
  </si>
  <si>
    <t>SAN MIGUEL - AUT [23057140; ANT; HID; GOES: 15C5759A; AO10; IDEAM]</t>
  </si>
  <si>
    <t>PM LA LAGUNA [2403000117; BOY; MET; GPRS; AO06; IDEAM]</t>
  </si>
  <si>
    <t>2026-09-17 13:10</t>
  </si>
  <si>
    <t>PUENTE SANTANDER [21097070; HUI; HID; GPRS; AO04; IDEAM]</t>
  </si>
  <si>
    <t>IMUES [52050090; AO 07;UNIÓN DEL SUR]</t>
  </si>
  <si>
    <t>RIO BOBO [52050060; NAR; MET; CP; AO07; GPRS - GOES: CB100266;  IDEAM]</t>
  </si>
  <si>
    <t>TANGUA [52050080; NAR; MET; CP; AO07; GPRS - GOES: CB101110;  IDEAM]</t>
  </si>
  <si>
    <t>SINDAGUA [52055090; NAR; MET; CP; AO07; GPRS - GOES: CB10248A;  IDEAM]</t>
  </si>
  <si>
    <t>PARQUE TAYRONA [15015100; AO05;]</t>
  </si>
  <si>
    <t>GUTIERREZ [35020300; AO11]</t>
  </si>
  <si>
    <t>LA PRIMAVERA [3526500201;AO 03;PAREX 2]</t>
  </si>
  <si>
    <t>JEGUA [0025027240; AO02; MOJANA]</t>
  </si>
  <si>
    <t>SAN ANTONIO [0025027180; AO02; PNUD-MOJANA]</t>
  </si>
  <si>
    <t>CECILIA [2502700206; AO 02; MOJANA]</t>
  </si>
  <si>
    <t>PUERTO LIBERTADOR [0025010010; AO02; MOJANA]</t>
  </si>
  <si>
    <t>LAS FLORES [25027270;AO 01]</t>
  </si>
  <si>
    <t>TRES ESQUINAS [44055010; AO11]</t>
  </si>
  <si>
    <t>SAN JOSE DEL GUAVIARE [32105080; AO 03;TERRITORIOS VERDES]</t>
  </si>
  <si>
    <t>TAURAMENA [35195020; CAS; MET; ME; AO06; GPRS, GOES: CB0F036A]</t>
  </si>
  <si>
    <t>PAEZ [35080050; BOY; MET; ME; AO06; GPRS, GOES: CB0F101C]</t>
  </si>
  <si>
    <t>LOS ESTEROS [35197030; CAS; HID; LM; AO06;GOES: CB0EC48E]</t>
  </si>
  <si>
    <t>PAEZ [35087020; BOY; HID; LM; AO06; GPRS, GOES: CB0384E2]</t>
  </si>
  <si>
    <t>UNIAUTONOMA - AUT [2904000177; AO 02; TEBSA 2]</t>
  </si>
  <si>
    <t>UNIREFORMADA - AUT [2904000176; AO02; TEBSA 2]</t>
  </si>
  <si>
    <t>AEROPUERTO SIMON BOLIVAR [15015050;  MAG; MET;  AO05; GOES: CB0ED7F8, GPRS]</t>
  </si>
  <si>
    <t>2026-09-18 07:16</t>
  </si>
  <si>
    <t>AEROPUERTO BARACOA [25025100; AO 02; TEBSA 2]</t>
  </si>
  <si>
    <t>CENTENARIO HACIENDA [0028025090; CES; MET;  AO05; GOES: CB157336, GPRS]</t>
  </si>
  <si>
    <t>JUAN DE ACOSTA [0029045110; AO02;TEBSA 2]</t>
  </si>
  <si>
    <t>PLATO MAGDALENA [25027450; AO02,TEBSA 2]</t>
  </si>
  <si>
    <t>URUMITA [28015070; GUA; MET;  AO05; OTT; GPRS]</t>
  </si>
  <si>
    <t>AEROPUERTO YARIGUIES [23155030; SAN; MET; SP;  AO08; GOES: 15C55376]</t>
  </si>
  <si>
    <t>PUERTO SERVIEZ[2311500200; BOY; MET; AO10; GOES: 15C54000]</t>
  </si>
  <si>
    <t>PIDEMONTE CHINGAZA - AUT [3505500121; AO 03; MET; GOES/GPRS;]</t>
  </si>
  <si>
    <t>PARQUES NACIONALES NATURALES</t>
  </si>
  <si>
    <t>CORINTO [35195050; BOY; MET; AO06; GPRS, GOES: 15C68210]</t>
  </si>
  <si>
    <t>PUENTE LAS CANAS [35197070; BOY; HID; AO06; GPRS, GOES: CB0083EC]</t>
  </si>
  <si>
    <t>SAN JOSE [35190070; CAS; MET; AO06; GPRS, GOES: CB0005F8]</t>
  </si>
  <si>
    <t>CHARALA [0024025502; ISAGEN; SAN; MET; GOES: 57412794]</t>
  </si>
  <si>
    <t>ISAGEN</t>
  </si>
  <si>
    <t>CAPITANEJO 1  COLTABACO [0024035502; ISAGEN; BOY; MET; GOES:57415104]</t>
  </si>
  <si>
    <t>SOCHA [0024035507;  AO 06; MET; GOES; EXT ISAGEN]</t>
  </si>
  <si>
    <t>LA LAJA [0024015514; ISAGEN; SAN; MET; GOES: 57414272]</t>
  </si>
  <si>
    <t>CORRALES ACUEDUCTO [0024035503; ISAGEN; BOY; MET; GOES: 5741649E]</t>
  </si>
  <si>
    <t>ARCABUCO [0024015509; ISAGEN; BOY; MET; GOES: 574955A2]</t>
  </si>
  <si>
    <t>CONFINES [0024015510; ISAGEN; SAN; MET; GOES:  5749734E]</t>
  </si>
  <si>
    <t>CURITI NO. 1 [0024025503; ISAGEN; SAN; MET; GOES: 574990BC]</t>
  </si>
  <si>
    <t>EL CARMEN [0023145501; ISAGEN; SAN; MET; GOES: 5749A526]</t>
  </si>
  <si>
    <t>ENCINO [0024025504; ISAGEN; SAN; MET; GOES: 57400382]</t>
  </si>
  <si>
    <t>GAMBITA [0024015512; SAN; MET; GOES: 574010F4; AO8; ISAGEN]</t>
  </si>
  <si>
    <t>SIMIJACA [0024015518; ISAGEN; CUN; MET; GOES: 5740256E]</t>
  </si>
  <si>
    <t>JERICO [0024035505; ISAGEN; BOY; MET; GOES: 57403618]</t>
  </si>
  <si>
    <t>EL OLIVAL [0024015511; ISAGEN; SAN; MET; GOES: 57404088]</t>
  </si>
  <si>
    <t>LA FUENTE (EL PALMAR) [24055503; ISAGEN; SAN; MET; GOES: 574053FE]</t>
  </si>
  <si>
    <t>ZAPATOCA [0024055504; ISAGEN; SAN; MET; GOES: 57406664]</t>
  </si>
  <si>
    <t>ESC AGR MOGOTES [0024025505; ISAGEN; SAN; MET; GOES: 57407512]</t>
  </si>
  <si>
    <t>2026-09-18 07:01</t>
  </si>
  <si>
    <t>OIBA [0024015515; ISAGEN; SAN; MET; GOES: 57408596]</t>
  </si>
  <si>
    <t>SAN ANTONIO [0024035508; ISAGEN; BOY; MET; GOES: 5740C69C]</t>
  </si>
  <si>
    <t>SUSA [0024035509; ISAGEN; SAN; MET; GOES: 5740D5EA]</t>
  </si>
  <si>
    <t>TASCO [0024035510; ISAGEN; BOY; MET; GOES: 5740E070]</t>
  </si>
  <si>
    <t>SAN BENITO [0024017707; ISAGEN; SAN; HID; GOES: 5741120E]</t>
  </si>
  <si>
    <t>SUAITA [0024015519; ISAGEN; SAN; MET; GOES: 5748E4D6]</t>
  </si>
  <si>
    <t>CHIMA [0024015517; ISAGEN; SAN; MET; GOES: 574905DE]</t>
  </si>
  <si>
    <t>CORRALES [0024037702; ISAGEN; BOY; HID; GOES: 574916A8]</t>
  </si>
  <si>
    <t>TRINIDAD PAUTO - AUT [35237030; CAS; HID; GOES: CB00168E; AO06; PERENCO 1]</t>
  </si>
  <si>
    <t>TRINIDAD - AUT [35235040; CAS; MET; GOES: CB112670; AO06; PERENCO 1/PAREX 2]</t>
  </si>
  <si>
    <t>LABRANZA GRANDE AUT [35217090; BOY; HID; GOES: CB02D664; AO06; PERENCO 1]</t>
  </si>
  <si>
    <t>PLAYON EL [35217060; AO06; HID; GOES; PERENCO 1/PAREX 2]</t>
  </si>
  <si>
    <t>2026-09-17 22:00</t>
  </si>
  <si>
    <t>PUENTE LA CABANA [35217030;  AO06; PERENCO 1/ECOPETROL]</t>
  </si>
  <si>
    <t>AEROPUERTO YOPAL - AUT + DISDROMETRO [35215020; AO06; MET; GPRS; PERENCO 1/PAREX 2]</t>
  </si>
  <si>
    <t>2026-09-18 07:15</t>
  </si>
  <si>
    <t>CARDON EL [35235010; BOY; MET; CO; AO06; SUB; TEC; GOES]</t>
  </si>
  <si>
    <t>2026-09-17 15:00</t>
  </si>
  <si>
    <t>MODULOS - AUT [35225030;AO 03;PERENCO 1/PAREX 2]</t>
  </si>
  <si>
    <t>PISBA - AUT [35215030; AO06; MET; GOES; PERENCO 1]</t>
  </si>
  <si>
    <t>TAMARA - AUT [35235050; CAS; MET; GOES: 15C59668; AO06; PERENCO 1/PAREX 2]</t>
  </si>
  <si>
    <t>TOQUILLA - AUT [35195060;  AO06; MET; GOES; PERENCO 1]</t>
  </si>
  <si>
    <t>HATO LAGUNA - AUT [35167010; AO06; MET; GOES; IDEAM]</t>
  </si>
  <si>
    <t>EL TOBAL - AUT [3516700232;  AO06; MET; GOES; IDEAM]</t>
  </si>
  <si>
    <t>CORPOBOYACA - SANTA INES -AUT [35167000; AO06; HID; GOES; IDEAM]</t>
  </si>
  <si>
    <t>LLANO ALARCON [35160020;AO06; MET; GOES; IDEAM]</t>
  </si>
  <si>
    <t>POTRERITO [35160010; AO06; MET; GOES; IDEAM]</t>
  </si>
  <si>
    <t>CINTAS LAS [35190010; AO06; MET; GOES; IDEAM]</t>
  </si>
  <si>
    <t>EL TUNEL [35165000; AO06; MET; GOES; IDEAM]</t>
  </si>
  <si>
    <t>RUMICHACA - AUT [52057100] NAR; GOES CB11E36E; HID; AO07</t>
  </si>
  <si>
    <t>SIPI - AUT  [54037050; CHO; HID; GOES; AO09; PROYECTO CHOCO]</t>
  </si>
  <si>
    <t>AEROPUERTO CONDOTO [54020090; AO 09; MET; GPRS; PROYECTO CHOCO]</t>
  </si>
  <si>
    <t>RIO IRO - AUT  [54027050; CHO; HID; GOES:CB114396; AO09; PROYECTO CHOCO]</t>
  </si>
  <si>
    <t>NOANAMA ASERRIO [54057010; CHO; HID; GOES: CB11009C; AO09; PROYECTO CHOCO]</t>
  </si>
  <si>
    <t>ISTMINA [54010010; AO 09; MET; GPRS; PROYECTO CHOCO]</t>
  </si>
  <si>
    <t>TADO - AUT  [54015020; AO 09; MET; GPRS;  PROYECTO CHOCO]</t>
  </si>
  <si>
    <t>CERTEGUI [11030010; AO 09; MET; GPRS; PROYECTO CHOCO]</t>
  </si>
  <si>
    <t>PANAMERICANA [56015010;AO 01;PROYECTO CHOCO]</t>
  </si>
  <si>
    <t>NOANAMA [54050010; AO 09; MET; GOES:CB11CB50; PROYECTO CHOCO]</t>
  </si>
  <si>
    <t>SAN JOSE PALMAR [54025010; CHO; MET; GOES:CB11B312; AO09; PROYECTO CHOCO]</t>
  </si>
  <si>
    <t>2026-09-18 06:30</t>
  </si>
  <si>
    <t>ATRATO [11175000;AO 01;PROYECTO CHOCO]</t>
  </si>
  <si>
    <t>AEROPUERTO EL CARAÑO [11045010;AO 01;PROYECTO CHOCO]</t>
  </si>
  <si>
    <t>MARRALU - AUT [25027770; AO02; PNUD-MOJANA]</t>
  </si>
  <si>
    <t>SAN BENITO - AUT [25025380; AO02; PNUD-MOJANA]</t>
  </si>
  <si>
    <t>AYAPEL - AUT [25025030; AO02;PNUD-MOJANA]</t>
  </si>
  <si>
    <t>SAN MARCOS - AUT [25027750 AO02; PNUD-MOJANA; SINIESTRO ]</t>
  </si>
  <si>
    <t>BEIRUT - AUT [25027760; AO02;PNUD-MOJANA]</t>
  </si>
  <si>
    <t>TREMENTINO - AUT [25021210; AO02; PNUD-MOJANA]</t>
  </si>
  <si>
    <t>SAN PEDRO - AUT [25020440; AO02; PNUD-MOJANA]</t>
  </si>
  <si>
    <t>CHINU - AUT [25020470; AO 02; MOJANA]</t>
  </si>
  <si>
    <t>SAJONIA HACIENDA - AUT [25020600; AO02; PNUD-MOJANA]</t>
  </si>
  <si>
    <t>2026-09-17 17:50</t>
  </si>
  <si>
    <t>MAJAGUAL [0025025240; AO02; MOJANA]</t>
  </si>
  <si>
    <t>LA RAYA [25027910;AO 01]</t>
  </si>
  <si>
    <t>SAN ANDRES - AUT [17019010; AO11]</t>
  </si>
  <si>
    <t>AEROPUERTO EL EMBRUJO [17025020; PROV; MET; SP; AO11; IDEAM]</t>
  </si>
  <si>
    <t>AEROPUERTO A LLERAS C [24035340;  AO06; MET; GPRS; IDEAM ]</t>
  </si>
  <si>
    <t>2026-09-18 07:22</t>
  </si>
  <si>
    <t>AEROPUERTO A. BONILLA - AUT [26075150; AO 09; MET; GPRS; IDEAM]</t>
  </si>
  <si>
    <t>2026-09-18 07:18</t>
  </si>
  <si>
    <t>AEROPUERTO SESQUICENTENARIO [17015010; AO11]</t>
  </si>
  <si>
    <t>AEROPUERTO EL EDEN - AUT [26125061; QUI; MET; GPRS; AO09; IDEAM]</t>
  </si>
  <si>
    <t>AEROPUERTO SAN LUIS - AUT [52055230; NAR; MET; CP; AO07; GPRS; JFIGUEROA]</t>
  </si>
  <si>
    <t>AEROPUERTO ALM. PADILLA - [15065180; AO05; IDEAM]</t>
  </si>
  <si>
    <t>AEROPUERTO VASQUEZ COBO [48015050; AO11; IDEAM]</t>
  </si>
  <si>
    <t>AEROPUERTO RAFAEL NUNEZ [14015080; AO 02; TEBSA 2]</t>
  </si>
  <si>
    <t>AEROPUERTO E. CORTISSOZ - AUT [29045190; AO02; TEBSA 2]</t>
  </si>
  <si>
    <t>AEROPUERTO ALFONSO LOPEZ - [28025502; AO05; IDEAM]</t>
  </si>
  <si>
    <t>OLAYA HERRERA [27015330;AO 01;AUTOPISTAS NORDESTE]</t>
  </si>
  <si>
    <t>AEROPUERTO MATECANA [26125710; RIS; MET; GPRS; AO09; IDEAM]</t>
  </si>
  <si>
    <t>AEROPUERTO PALONEGRO + DISDROMETRO [23195502; SAN; MET; GPRS; AO08; RUTA DEL CACAO]</t>
  </si>
  <si>
    <t>AEROPUERTO J.M. CORDOVA [23085270;AO01;RUTA DEL CACAO]</t>
  </si>
  <si>
    <t>AEROPUERTO CAMILO DAZA - AUT [16015501; NSD; MET; GPRS; AO08; IDEAM]</t>
  </si>
  <si>
    <t>AEROPUERTO LOS GARZONES [13035501; AO02; IDEAM]</t>
  </si>
  <si>
    <t>ELDORADO CATAM [21205791; AO11; IDEAM]</t>
  </si>
  <si>
    <t>ALTAMIRA EL GRIFO AUT [21025030; HUI; MET; CO;  AO04; GPRS, GOES: CB03528A; NDC]</t>
  </si>
  <si>
    <t>LIBANO EL [21035040; HUI; MET; CO; AO04; GPRS, GOES: CB036710; NDC]</t>
  </si>
  <si>
    <t>BETULIA LA [21045010; HUI; MET; PM; AO04; GPRS, GOES: CB0302F6; NDC]</t>
  </si>
  <si>
    <t>ARGENTINA LA [21050060; HUI; MET; PM; AO04; GPRS, GOES: CB031180; NDC]</t>
  </si>
  <si>
    <t>ZULUAGA [21065040; HUI; MET; CO; AO04; GPRS, GOES: CB03241A; NDC]</t>
  </si>
  <si>
    <t>JUNCAL EL [21095010; HUI; MET; CO; AO04; GPRS, GOES: 21095010; NDC]</t>
  </si>
  <si>
    <t>POTOSI HACIENDA [21105040; HUI; MET; PM; AO04; GPRS, GOES: CB025070; NDC]</t>
  </si>
  <si>
    <t>ROSALES LOS [21105050; HUI; MET; PM; AO04; GPRS, GOES: CB01E4F0; NDC]</t>
  </si>
  <si>
    <t>PALACIO-VEGALARGA [21115100; HUI; MET;CO; AO04; GPRS, GOES: CB02C512; NDC]</t>
  </si>
  <si>
    <t>SANTA MARIA [21125010; HUI; MET; PM; AO04; GPRS, GOES: CB02B382; NDC]</t>
  </si>
  <si>
    <t>PEREZ HACIENDA [21130050; HUI; MET; PM; AO04; GPRS, GOES: CB0265EA; NDC]</t>
  </si>
  <si>
    <t>JABALCON [0021135020; TOL; MET; AO10; GPRS, GOES: CB03B178; NDC]</t>
  </si>
  <si>
    <t>CRUCES LAS [21140120; TOL; MET;PM; AO04; GPRS, GOES: CB02F088; NDC]</t>
  </si>
  <si>
    <t>GUAMO [21185030; TOL; MET; AO10; GPRS, GOES: CB04B34C; NDC]</t>
  </si>
  <si>
    <t>VALLE DE SAN JUAN [0021185080; TOL; MET; AO10; GPRS, GOES: CB0537A2; NDC]</t>
  </si>
  <si>
    <t>LA FLORIDA [21205670; AO11; NDC]</t>
  </si>
  <si>
    <t>GRANJA  ARMERO   [21255090; TOL; MET; AO10; GPRS, GOES: CB055244; NDC]</t>
  </si>
  <si>
    <t>PEÑA RICA [22020020; TOL; MET; AO10; GPRS, GOES: CB050238; NDC]</t>
  </si>
  <si>
    <t>MESA DE POLE [22055020; TOL; MET; AO10; GPRS, GOES: CB03A20E; NDC]</t>
  </si>
  <si>
    <t>SAN ANTONIO LA QUINTA [22065040; TOL; MET; AO10; GPRS, GOES: CB0495A0; NDC]</t>
  </si>
  <si>
    <t>SANTA HELENA [22070030; TOL; MET; AO10; GPRS, GOES: CB04D6AA; NDC]</t>
  </si>
  <si>
    <t>ALBANIA [23025040; TOL; MET; AO10; GPRS, GOES: CB04262E; NDC]</t>
  </si>
  <si>
    <t>LA CABRERA [23065120; AO11; NDC]</t>
  </si>
  <si>
    <t>CLARAVAL [35060210; AO11; NDC]</t>
  </si>
  <si>
    <t>EL AÑIL  [11117010;AO 01;AUTOPISTAS DEL MAR 2]</t>
  </si>
  <si>
    <t>CURVARADO [1111700230;AO 01;AUTOPISTAS DEL MAR 2]</t>
  </si>
  <si>
    <t>MUTATA [1111700231;AO 01;AUTOPISTAS DEL MAR 2]</t>
  </si>
  <si>
    <t>MUSINGA AUT [11115040;AO 01;AUTOPISTAS DEL MAR 2]</t>
  </si>
  <si>
    <t>NORMAL SANTA TERESA AUT [11110010;AO 01;AUTOPISTAS DEL MAR 2]</t>
  </si>
  <si>
    <t>BOQUERON DE TOYO [11110110;AO 01;AUTOPISTAS DEL MAR 2]</t>
  </si>
  <si>
    <t>LAS ANIMAS [35027150; AO11]</t>
  </si>
  <si>
    <t>CASETEJA-DELICIAS [35027210;AO 03;COVIANDINA]</t>
  </si>
  <si>
    <t>2026-09-17 17:20</t>
  </si>
  <si>
    <t>GUACAPATE [35027190;AO 03;COVIANDINA;SINIESTRO]</t>
  </si>
  <si>
    <t>EL PALMAR [35027200;AO 03;COVIANDINA;SINIESTRO]</t>
  </si>
  <si>
    <t>PUENTE FERROCARRIL CIENEGA [24057070; SANT; HID; LG; AO08; TEC; GOES CB267248 ]</t>
  </si>
  <si>
    <t>EL NARANJO[23190440; SANT; MET; CO; N; AO08; HP; TECNICO; GOES: CB1BB240]</t>
  </si>
  <si>
    <t>LA PUTANA [24050070; MET; AO08]</t>
  </si>
  <si>
    <t>CIMITARRA [23125120 ; SANT; MET; CO; N; AO08; HP; TECNICO; GOES: CB25A32E]</t>
  </si>
  <si>
    <t>RIOTEX [23087670;AO 01;RUTAS DEL CACAO]</t>
  </si>
  <si>
    <t>GUADUERO [23067050; AO11; CONCESIONARIA RUTA DEL CACAO S.A.S]</t>
  </si>
  <si>
    <t>SANTURBAN (EL SALADO)[2319500207; SANT; MET; ME; N; AO08; HP; TECNICO; GOES: CB271554]</t>
  </si>
  <si>
    <t>PUERTO WILCHES [23187010; SANT; HID; LG; AO08; TEC; GOES CB278036]</t>
  </si>
  <si>
    <t>FINCA BARREDERO [23127050; SANT; HID; LG; AO08; TEC; GOES CB27A6DA]</t>
  </si>
  <si>
    <t>PUENTE FERROCARRIL OPÓN [23147020; SANT; HID; LG; AO08; TEC; GOES CB27D04A]</t>
  </si>
  <si>
    <t>SAN RAFAEL [23197370; SANT; HID; LG; AO08; TEC; GOES CB27F6A6]SINIESTRO</t>
  </si>
  <si>
    <t>IDEAM PUENTE ARANDA [2120500204; AO11; IDEAM]</t>
  </si>
  <si>
    <t>EL PANTANO [23190600; SANT; MET; CO; N; AO08; HP; TECNICO; GOES: CB2682CC]</t>
  </si>
  <si>
    <t>INSTITUCION AGRICOLA MACANAL [35075040; BOY; MET; CP; AO06]</t>
  </si>
  <si>
    <t>CORPOCHIVOR</t>
  </si>
  <si>
    <t>EL BAGRE [2625700231;AO 01;AUTOPISTAS NORDESTE]</t>
  </si>
  <si>
    <t>2026-09-18 05:59</t>
  </si>
  <si>
    <t>SENA EL BAGRE [27035050;AO 01;AUTOPISTAS NORDESTE]</t>
  </si>
  <si>
    <t>ANORI [27025030;AO 01;AUTOPISTAS NORDESTE]</t>
  </si>
  <si>
    <t>UNISUCRE- AUT [25025270; SUC; MET; PV; AO02; GPRS]</t>
  </si>
  <si>
    <t>VEGACHI [23105030;AO 01;NDC FASE 2]</t>
  </si>
  <si>
    <t>MESOPOTAMIA [26185020;AO 01;NDC FASE 2;]</t>
  </si>
  <si>
    <t>AEROPUERTO OTU [23175020;AO 01;NDC FASE 2]</t>
  </si>
  <si>
    <t>SAN CARLOS [23085220;AO 01;NDC FASE 2]</t>
  </si>
  <si>
    <t>SAN RAFAEL [21085030 MET; CO; NDC; AO04; GOES: 15C661E2]</t>
  </si>
  <si>
    <t>ESCUELA AGRICOLA LA PLATA [21055020 MET; CO; NDC; AO04; GOES: 15C67294]</t>
  </si>
  <si>
    <t>LA  MONO [44045030 MET; CO; NDC; AO04; GOES: CB13161E]</t>
  </si>
  <si>
    <t>BUENAVISTA [23125100 MET; CP; NDC; AO06; GOES: CB11D826]</t>
  </si>
  <si>
    <t>VILLA CARMEN [24015220 MET; CP; NDC; AO06; GOES: CB12DF28</t>
  </si>
  <si>
    <t>SANTA ISABEL [21245140 MET; CO; NDC; AO10; GOES: CB13608E]</t>
  </si>
  <si>
    <t>INEM KENNEDY [21206560 ; AO11; NDC FASE 2]</t>
  </si>
  <si>
    <t>CORRIENTES [23085160;AO 01;NDC FASE 2]</t>
  </si>
  <si>
    <t>GUASCA [21205700; AO11; NDC FASE 2]</t>
  </si>
  <si>
    <t>LA BOLSA  [35025060; AO11; NDC FASE 2]</t>
  </si>
  <si>
    <t>VENECIA [44037050; ANT; HID; LG; AO04; TEC; GOES CB13D300 ]</t>
  </si>
  <si>
    <t>SALADO BLANCO [21017040; ANT; HID; GOES: CB00E60A; AO04; PROYECTO NDC FASE 2]</t>
  </si>
  <si>
    <t>EL DIAMANTE  [22077030; ANT; HID; LG; AO10; TEC; GOES CB019260 ]</t>
  </si>
  <si>
    <t>LAS SARDINAS [22017020; ANT; HID; LG; AO10; TEC; GOES  CB01C21C ]</t>
  </si>
  <si>
    <t>BETEITIVA [24035020 MET; CO; NDC; AO06; GOES: CB12EAB2]</t>
  </si>
  <si>
    <t>OTANCHE [23125080 MET; CO; NDC; AO06; GOES: CB12F9C4]</t>
  </si>
  <si>
    <t>VILLA LUISA [35075030 MET; CO; NDC; AO06; GOES: CB130BBA]</t>
  </si>
  <si>
    <t>HACIENDA  LAS BRISAS [24065010 MET; CO; NDC; AO08; GOES: CB179530]</t>
  </si>
  <si>
    <t>COLEGIO COOPERATIVO [23205020 MET; CO; NDC; AO08; GOES: CB11F018]</t>
  </si>
  <si>
    <t>ALTO DEL VINO [2306500204; AO11; NDC FASE 2]</t>
  </si>
  <si>
    <t>IPICHIRRAIN [1507500207 MET; CO; NDC; AO05; GOES: 15C60404 ]</t>
  </si>
  <si>
    <t>KAURAQUIMANA [15070080 MET; CO; NDC; AO05; GOES: 15C65478 ]</t>
  </si>
  <si>
    <t>SILLAMANA [15080070 MET; CO; NDC; AO05; GOES: 15C6470E ]</t>
  </si>
  <si>
    <t>PUENTE IGLESIAS [26207030;AO 01;CONPACIFICO]</t>
  </si>
  <si>
    <t>OLAYA [26237100;AO 01;CONPACIFICO]</t>
  </si>
  <si>
    <t>HACIENDA TUNEZ [26175040;AO 01;CONPACIFICO]</t>
  </si>
  <si>
    <t>ACUEDUCTO ARMENIA [2620500209;AO 01;CONPACIFICO]</t>
  </si>
  <si>
    <t>EL PLAN [2620500211;AO 01;CONPACIFICO]</t>
  </si>
  <si>
    <t>UFRANÁ [2620500210;AO 01;AUTOPISTAS AL MAR 2]</t>
  </si>
  <si>
    <t>PAZ DE ARIPORO [36017010; ANT; HID; LG; AO06; TEC; GOES  CB108AA0 ]</t>
  </si>
  <si>
    <t>ESPERANZA LA RADIO [25021480;AO 01;AUTOPISTAS NORDESTE]</t>
  </si>
  <si>
    <t>ALTO DE LA CRUZ [2701500213;AO 01;AUTOPISTAS NORDESTE ]</t>
  </si>
  <si>
    <t>GUAYABITO  [27015190;AO 01;AUTOPISTAS NORDESTE]</t>
  </si>
  <si>
    <t>LAS BRISAS [27011100;AO 01;AUTOPISTAS NORDESTE]</t>
  </si>
  <si>
    <t>SANTA ELENA  [27010810;AO 01;AUTOPISTAS NORDESTE]</t>
  </si>
  <si>
    <t>LA SALADA [27015260;AO 01;AUTOPISTAS NORDESTE]</t>
  </si>
  <si>
    <t>LA PALMA DE COCO [27030140;AO 01;AUTOPISTAS NORDESTE]</t>
  </si>
  <si>
    <t>CHIMA [13075010; AO02; NDC 3]</t>
  </si>
  <si>
    <t>REPRESA URRA [13015040; COR; MET; GOES: CB20C108; AO02; NDC 3]</t>
  </si>
  <si>
    <t>BARBACOAS [52065020; AO07; CRUZ ROJA]</t>
  </si>
  <si>
    <t>TRES ESQUINAS  [4403700236; AO11; IDEAM]</t>
  </si>
  <si>
    <t>LA CALDERONA TOTA [3507500359; MET; GOES; AO 06; DATUM_PAREX]</t>
  </si>
  <si>
    <t>PUENTE ADRIANA - AUT [35077090;HID;GPRS / GOES; AO06; DATUM PAREX]</t>
  </si>
  <si>
    <t>DESECHO LA HACIENDA - AUT [35210060; AO 06; MET; GOES; PAREX]</t>
  </si>
  <si>
    <t>PRUEBAS 33333333; GOES:[CB14B4D2]</t>
  </si>
  <si>
    <t>PUERTO LLERAS- AUT [3206500214;AO 03;IDEAM]</t>
  </si>
  <si>
    <t>HACIENDA LA CABAÑA [35045020; AO 03; MET; GOES:CB0FE098; PAREX]</t>
  </si>
  <si>
    <t>HACIENDA LAS MARGARITAS [35125010; AO 03; MET; GOES:CB0F36F0; PAREX]</t>
  </si>
  <si>
    <t>PUERTO LOPEZ [35010010; AO 03; MET; GOES: CB1776C2 ; PAREX]</t>
  </si>
  <si>
    <t>AEROPUERTO PUERTO CARRENO [38015030] AO 03; MET; GOES:CB1516D0 ; PAREX]</t>
  </si>
  <si>
    <t>ACEITICO [35250040; AO 03; MET; GOES:CB1765B4 ; PAREX]</t>
  </si>
  <si>
    <t>CABUYARO [35107030;HID;GOES:CB138DAE; AO06; DATUM PAREX]</t>
  </si>
  <si>
    <t>PUENTE CARRETERA [35227090; HID; GOES: CB11C582 ; AO03; DATUM PAREX]</t>
  </si>
  <si>
    <t>EL BARRO [35017040; HID;GOES:CB135BC6 ; AO03; DATUM PAREX]</t>
  </si>
  <si>
    <t>LA BOCA [35067090; AO11]</t>
  </si>
  <si>
    <t>LAGUNA EUCAS [3602700305; A0 06;  PAREX]</t>
  </si>
  <si>
    <t>VIVERO EL  [35085040; AO 06; MET; GOES: CB0FA392 ; PAREX]</t>
  </si>
  <si>
    <t>CAZADERO [35090060; AO 06; MET; GOES: CB15234A ; PAREX]</t>
  </si>
  <si>
    <t>GUAMO DE SISBACA [35090070; AO 06; MET; GOES: CB15F522 ; PAREX]</t>
  </si>
  <si>
    <t>CHIRIGUANA [25025250;AO 05;IDEAM]</t>
  </si>
  <si>
    <t>LAGUNAS DE BUITRAGO  [3506500397 -PARQUES NACIONALES - GOES CB047652]</t>
  </si>
  <si>
    <t>CUATRO VIENTOS [PARQUES NACIONALES - GOES CB133E20]</t>
  </si>
  <si>
    <t>AJAJU [4303500375; PARQUES NACIONALES;GOES C0A0028A]</t>
  </si>
  <si>
    <t>MESAY [4509500413; PARQUES NACIONALES ;GOES C0A00C58]</t>
  </si>
  <si>
    <t>YARÍ [4510500414; PARQUES NACIONALES; GOES C0A011FC]</t>
  </si>
  <si>
    <t>PUERTO MALLARINO - AUT [26307020]</t>
  </si>
  <si>
    <t>CVC</t>
  </si>
  <si>
    <t>CHAPASIA  [35087060;HID;GPRS / GOES; AO06; DATUM PAREX]</t>
  </si>
  <si>
    <t>PRUEBA4</t>
  </si>
  <si>
    <t>PIRMA - 1 CURITI</t>
  </si>
  <si>
    <t>CAS</t>
  </si>
  <si>
    <t>PIRMA -3 HATO</t>
  </si>
  <si>
    <t>PIRMA- 2 ENCINO</t>
  </si>
  <si>
    <t>C_JARDIN BOTANICO [21205710; AO-11; FONDO ADAPTACION]</t>
  </si>
  <si>
    <t>C_UNIVERSIDAD INDUSTRIAL SANTANDER [23195040; SAN; MET; AO08; DOSPINA]</t>
  </si>
  <si>
    <t>C_UNIVERSIDAD DE CUNDINAMARCA [21235030; AO11; FONDO ADAPTACION]</t>
  </si>
  <si>
    <t>C_PUENTE REAL [23087150;AO 01;FONDO ADAPTACION]</t>
  </si>
  <si>
    <t>C_PALMAS [23190380; SANT; MET; CO; N; AO08; HP; TECNICO; GOES: CB1B94AC]</t>
  </si>
  <si>
    <t>C_HATICO DE LOS INDIOS - AUT [28010200; AO05; FONDO ADAPTACION]</t>
  </si>
  <si>
    <t>SAN GIL [24025506; ISAGEN; MET]</t>
  </si>
  <si>
    <t>LA RIVERA [2204500220; ISAGEN; MET]</t>
  </si>
  <si>
    <t>SAN JOSÉ LAS HERMOSAS [2204500221; ISAGEN; MET]</t>
  </si>
  <si>
    <t>EL QUESO [2204700288; ISAGEN; HID]</t>
  </si>
  <si>
    <t>MANZANARES [2302500235; ISAGEN; MET]</t>
  </si>
  <si>
    <t>MARULANDA [2302500236; ISAGEN; MET]</t>
  </si>
  <si>
    <t>MONTEBONITO [2302500237; ISAGEN; MET]</t>
  </si>
  <si>
    <t>SITIO DESVIO [2302700299; ISAGEN; HID]</t>
  </si>
  <si>
    <t>PUENTE VICTORIA [2302700302; ISAGEN; HID]</t>
  </si>
  <si>
    <t>BUENA VISTA [2305500233; ISAGEN; MET]</t>
  </si>
  <si>
    <t>PRESA MIEL [2305500238; ISAGEN; MET]</t>
  </si>
  <si>
    <t>NATURAL MANSO [2305700300; ISAGEN; HID]</t>
  </si>
  <si>
    <t>TARRO PINTADO [2305700303; ISAGEN; HID]</t>
  </si>
  <si>
    <t>TÚNEL DE FUGA [2305700304; ISAGEN; HID]</t>
  </si>
  <si>
    <t>CANAL FUGA CALDERAS [2308500223; ISAGEN; MET;]</t>
  </si>
  <si>
    <t>EMBALSE CALDERAS [2308500224; ISAGEN; MET]</t>
  </si>
  <si>
    <t>NACIMIENTO CALDERAS [2308500225; ISAGEN; MET]</t>
  </si>
  <si>
    <t>COMPUERTAS [2308500226; ISAGEN; MET;]</t>
  </si>
  <si>
    <t>CONCEPCIÓN [2308500227; ISAGEN; MET;]</t>
  </si>
  <si>
    <t>EL ÁGUILA [2308500228; ISAGEN; MET]</t>
  </si>
  <si>
    <t>SIRPES [2308500229; ISAGEN; MET]</t>
  </si>
  <si>
    <t>SANTO DOMINGO [2308500230; ISAGEN; MET]</t>
  </si>
  <si>
    <t>EL POPO [2308500231; ISAGEN; MET]</t>
  </si>
  <si>
    <t>TORRES DE CAPTACIÓN [2308500232; ISAGEN; MET]</t>
  </si>
  <si>
    <t>CHARCO LARGO [2308700289; ISAGEN; HID]</t>
  </si>
  <si>
    <t>EMBALSE TAFETANES [2308700290; ISAGEN; HID]</t>
  </si>
  <si>
    <t>CHARCO NEGRO [2308700291; ISAGEN; HID]</t>
  </si>
  <si>
    <t>EL VIENTO [2308700292; ISAGEN; HID]</t>
  </si>
  <si>
    <t>PUENTE ARKANSAS [2308700293; ISAGEN; HID]</t>
  </si>
  <si>
    <t>PUENTE CHARCÓN [2308700294; ISAGEN; HID]</t>
  </si>
  <si>
    <t>MOLINO [2308700296; ISAGEN; HID]</t>
  </si>
  <si>
    <t>SAN MIGUEL [2308700297; ISAGEN; HID]</t>
  </si>
  <si>
    <t>PUENTE LA PAZ [2405700305; ISAGEN; HID]</t>
  </si>
  <si>
    <t>CARUQUIA [2701700295; ISAGEN; HID]</t>
  </si>
  <si>
    <t>LUZ MA - RIACHÓN [2701700298; ISAGEN; HID]</t>
  </si>
  <si>
    <t>C_GUAYABETAL POLLO OLIMPICO - AUT [3502500135;AO 03]</t>
  </si>
  <si>
    <t>CHAMEZA [35190030; AO6 ; MET; GOES: CB19043A; ECOPETROL]</t>
  </si>
  <si>
    <t>RANCHERIAS [35197050; HID; GOES: CB10DADC ; AO06; ECOPETROL]</t>
  </si>
  <si>
    <t>cod2</t>
  </si>
  <si>
    <t>tipo</t>
  </si>
  <si>
    <t>nombre_cne</t>
  </si>
  <si>
    <t>Area Operativa</t>
  </si>
  <si>
    <t>Municipio</t>
  </si>
  <si>
    <t>Departamento</t>
  </si>
  <si>
    <t>Estado actual 2026</t>
  </si>
  <si>
    <t>TX actual 2026</t>
  </si>
  <si>
    <t>Aparece polaris</t>
  </si>
  <si>
    <t>Categoría</t>
  </si>
  <si>
    <t>Fecha de última transmisión</t>
  </si>
  <si>
    <t>Comentarios</t>
  </si>
  <si>
    <t>Area Operativa 01 - Antioquia-Chocó</t>
  </si>
  <si>
    <t>Venecia (Antioquia)</t>
  </si>
  <si>
    <t>Antioquia</t>
  </si>
  <si>
    <t>EN LINEA</t>
  </si>
  <si>
    <t>GPRS</t>
  </si>
  <si>
    <t>SI</t>
  </si>
  <si>
    <t>Limnigráfica</t>
  </si>
  <si>
    <t>Santa Bárbara (Antioquia)</t>
  </si>
  <si>
    <t>Climática Principal</t>
  </si>
  <si>
    <t>Entrerrios</t>
  </si>
  <si>
    <t>DESCONECTADO</t>
  </si>
  <si>
    <t>20/08/2026</t>
  </si>
  <si>
    <t>Cáceres</t>
  </si>
  <si>
    <t>GOES</t>
  </si>
  <si>
    <t>San Roque</t>
  </si>
  <si>
    <t>El Carmen (Choco)</t>
  </si>
  <si>
    <t>Chocó</t>
  </si>
  <si>
    <t>Rionegro (Antioquia)</t>
  </si>
  <si>
    <t>Angostura</t>
  </si>
  <si>
    <t>Quibdó</t>
  </si>
  <si>
    <t>SUSPENDIDA</t>
  </si>
  <si>
    <t>NO ESTA EN POLARIS</t>
  </si>
  <si>
    <t>NO</t>
  </si>
  <si>
    <t>SUSPENDIDA CNE</t>
  </si>
  <si>
    <t>Abriaquí</t>
  </si>
  <si>
    <t>Caucasia</t>
  </si>
  <si>
    <t>Dabeiba</t>
  </si>
  <si>
    <t>Valdivia</t>
  </si>
  <si>
    <t>Agrometeorológica</t>
  </si>
  <si>
    <t xml:space="preserve"> LLORO [11035010]</t>
  </si>
  <si>
    <t>Lloró</t>
  </si>
  <si>
    <t>Yolombó</t>
  </si>
  <si>
    <t>Sonsón</t>
  </si>
  <si>
    <t>Pluviográfica</t>
  </si>
  <si>
    <t>Santa Rosa De Osos</t>
  </si>
  <si>
    <t>Vigia Del Fuerte</t>
  </si>
  <si>
    <t>Santa Fe De Antioquia</t>
  </si>
  <si>
    <t>Bello</t>
  </si>
  <si>
    <t>Area Operativa 02 - Atlántico-Bolivar-Sucre</t>
  </si>
  <si>
    <t>Montelíbano</t>
  </si>
  <si>
    <t>Córdoba</t>
  </si>
  <si>
    <t>Limnimétrica</t>
  </si>
  <si>
    <t>Puerto Libertador</t>
  </si>
  <si>
    <t>Repelón</t>
  </si>
  <si>
    <t>Atlantico</t>
  </si>
  <si>
    <t>El Guamo</t>
  </si>
  <si>
    <t>Bolívar</t>
  </si>
  <si>
    <t>Climática Ordinaria</t>
  </si>
  <si>
    <t>Montería</t>
  </si>
  <si>
    <t>Planeta Rica</t>
  </si>
  <si>
    <t>Ayapel</t>
  </si>
  <si>
    <t>Sabanagrande</t>
  </si>
  <si>
    <t>Cartagena De Indias</t>
  </si>
  <si>
    <t>Sahagún</t>
  </si>
  <si>
    <t>Lorica</t>
  </si>
  <si>
    <t>Puerto Escondido</t>
  </si>
  <si>
    <t>Manatí</t>
  </si>
  <si>
    <t>OFFLINE MANUAL</t>
  </si>
  <si>
    <t>PROC SUSPENSION</t>
  </si>
  <si>
    <t>Mareográfica</t>
  </si>
  <si>
    <t>El Carmén De Bolívar</t>
  </si>
  <si>
    <t>Morroa</t>
  </si>
  <si>
    <t>Sucre</t>
  </si>
  <si>
    <t>Arjona</t>
  </si>
  <si>
    <t>Barranquilla</t>
  </si>
  <si>
    <t>Area Operativa 03 - Meta-Guaviare-Guainía</t>
  </si>
  <si>
    <t>Villavicencio</t>
  </si>
  <si>
    <t>Meta</t>
  </si>
  <si>
    <t>SINIESTRO - PROCESO DE SUSPENSIÓN</t>
  </si>
  <si>
    <t>Lejanías</t>
  </si>
  <si>
    <t>Mitú</t>
  </si>
  <si>
    <t>Vaupes</t>
  </si>
  <si>
    <t>Puerto López</t>
  </si>
  <si>
    <t>Vistahermosa</t>
  </si>
  <si>
    <t>Puerto Gaitán</t>
  </si>
  <si>
    <t>Meteorológica Especial</t>
  </si>
  <si>
    <t>Cubarral</t>
  </si>
  <si>
    <t>Granada (Meta)</t>
  </si>
  <si>
    <t>Restrepo (Meta)</t>
  </si>
  <si>
    <t>Area Operativa 04 - Huila-Caquetá</t>
  </si>
  <si>
    <t>Pitalito</t>
  </si>
  <si>
    <t>Huila</t>
  </si>
  <si>
    <t>MARENGO - AUT [21015060] HOMOLOGADA</t>
  </si>
  <si>
    <t>Florencia (Caquetá)</t>
  </si>
  <si>
    <t>Caquetá</t>
  </si>
  <si>
    <t>Tesalia</t>
  </si>
  <si>
    <t>Algeciras</t>
  </si>
  <si>
    <t>San Agustín</t>
  </si>
  <si>
    <t>Pluviométrica</t>
  </si>
  <si>
    <t>Baraya</t>
  </si>
  <si>
    <t>Colombia</t>
  </si>
  <si>
    <t>La Plata</t>
  </si>
  <si>
    <t>Isnos</t>
  </si>
  <si>
    <t>Morelia</t>
  </si>
  <si>
    <t>Santa María (Huila)</t>
  </si>
  <si>
    <t>Palermo</t>
  </si>
  <si>
    <t>Area Operativa 05 - Magdalena-Cesar-Guajira</t>
  </si>
  <si>
    <t>El Banco</t>
  </si>
  <si>
    <t>Magdalena</t>
  </si>
  <si>
    <t>Zona Bananera</t>
  </si>
  <si>
    <t>Santa Marta</t>
  </si>
  <si>
    <t>Valledupar</t>
  </si>
  <si>
    <t>Cesar</t>
  </si>
  <si>
    <t>Fundación</t>
  </si>
  <si>
    <t>INMARSAT</t>
  </si>
  <si>
    <t>CONVENIO INTERADMINISTRATIVO No. 9677-PPAL001-162-2026, UNGRD</t>
  </si>
  <si>
    <t>Pivijai</t>
  </si>
  <si>
    <t>Curumaní</t>
  </si>
  <si>
    <t>Aracataca</t>
  </si>
  <si>
    <t>Pailitas</t>
  </si>
  <si>
    <t>Area Operativa 06 - Boyacá-Casanare-Vichada</t>
  </si>
  <si>
    <t>Santa María (Boyacá)</t>
  </si>
  <si>
    <t>Boyacá</t>
  </si>
  <si>
    <t>Zetaquirá</t>
  </si>
  <si>
    <t>La Capilla</t>
  </si>
  <si>
    <t>Chinavita</t>
  </si>
  <si>
    <t>Aquitania</t>
  </si>
  <si>
    <t>Socha</t>
  </si>
  <si>
    <t>Sogamoso</t>
  </si>
  <si>
    <t>El Espino</t>
  </si>
  <si>
    <t>Chita</t>
  </si>
  <si>
    <t>Villa De Leiva</t>
  </si>
  <si>
    <t>Yopal</t>
  </si>
  <si>
    <t>Casanare</t>
  </si>
  <si>
    <t>Tunja</t>
  </si>
  <si>
    <t>Motavita</t>
  </si>
  <si>
    <t>Paipa</t>
  </si>
  <si>
    <t>Tibasosa</t>
  </si>
  <si>
    <t>Tame</t>
  </si>
  <si>
    <t>Arauca</t>
  </si>
  <si>
    <t>Tuta</t>
  </si>
  <si>
    <t>Mani</t>
  </si>
  <si>
    <t>Quípama</t>
  </si>
  <si>
    <t>Moniquirá</t>
  </si>
  <si>
    <t>Area Operativa 07 - Nariño-Putumayo</t>
  </si>
  <si>
    <t>Túquerres</t>
  </si>
  <si>
    <t>Nariño</t>
  </si>
  <si>
    <t>20-08-2026</t>
  </si>
  <si>
    <t>Pasto</t>
  </si>
  <si>
    <t>Taminango</t>
  </si>
  <si>
    <t>Tumaco</t>
  </si>
  <si>
    <t>21-08-2026</t>
  </si>
  <si>
    <t>La Sierra</t>
  </si>
  <si>
    <t>Cauca</t>
  </si>
  <si>
    <t>21-07-2026</t>
  </si>
  <si>
    <t>Balboa (Cauca)</t>
  </si>
  <si>
    <t>Patía (El Bordo)</t>
  </si>
  <si>
    <t>ESTACION CON DIFICULTADES DE ORDEN PUBLICO</t>
  </si>
  <si>
    <t>Linares</t>
  </si>
  <si>
    <t>Contadero</t>
  </si>
  <si>
    <t>Barbacoas</t>
  </si>
  <si>
    <t>Ricaurte (Nariño)</t>
  </si>
  <si>
    <t>Mocoa</t>
  </si>
  <si>
    <t>Putumayo</t>
  </si>
  <si>
    <t>El Tablón</t>
  </si>
  <si>
    <t>Cumbitara</t>
  </si>
  <si>
    <t>Santiago (Putumayo)</t>
  </si>
  <si>
    <t>Area Operativa 08 - Santanderes-Arauca</t>
  </si>
  <si>
    <t>Mogotes</t>
  </si>
  <si>
    <t>Santander</t>
  </si>
  <si>
    <t>Cimitarra</t>
  </si>
  <si>
    <t>San Vicente De Chucurí</t>
  </si>
  <si>
    <t>Barrancabermeja</t>
  </si>
  <si>
    <t>Tona</t>
  </si>
  <si>
    <t>Pamplona</t>
  </si>
  <si>
    <t>Norte de Santander</t>
  </si>
  <si>
    <t>Gamarra</t>
  </si>
  <si>
    <t>Suratá</t>
  </si>
  <si>
    <t>Girón</t>
  </si>
  <si>
    <t>Cúcuta</t>
  </si>
  <si>
    <t>17/03/2025</t>
  </si>
  <si>
    <t>Sabana De Torres</t>
  </si>
  <si>
    <t>Puente Nacional</t>
  </si>
  <si>
    <t>Floridablanca</t>
  </si>
  <si>
    <t>Toledo (Norte de Santander)</t>
  </si>
  <si>
    <t>Cáchira</t>
  </si>
  <si>
    <t>Arboledas</t>
  </si>
  <si>
    <t>Aguachica</t>
  </si>
  <si>
    <t>Socorro</t>
  </si>
  <si>
    <t>Gramalote</t>
  </si>
  <si>
    <t>30/08/2024</t>
  </si>
  <si>
    <t>PROCESO DE SUSPENSIÓN</t>
  </si>
  <si>
    <t>Bucaramanga</t>
  </si>
  <si>
    <t>Piedecuesta</t>
  </si>
  <si>
    <t>Puerto Wilches</t>
  </si>
  <si>
    <t>Ocaña</t>
  </si>
  <si>
    <t>Area Operativa 09 - Cauca-Valle-Caldas</t>
  </si>
  <si>
    <t>Popayán</t>
  </si>
  <si>
    <t>Florida</t>
  </si>
  <si>
    <t>Valle del Cauca</t>
  </si>
  <si>
    <t>Cali</t>
  </si>
  <si>
    <t>Buenaventura</t>
  </si>
  <si>
    <t>Cartago</t>
  </si>
  <si>
    <t>Calarcá</t>
  </si>
  <si>
    <t>Quindío</t>
  </si>
  <si>
    <t>Alto Baudó (Pie De Pato)</t>
  </si>
  <si>
    <t>20/8/2026</t>
  </si>
  <si>
    <t>Manizales</t>
  </si>
  <si>
    <t>Caldas</t>
  </si>
  <si>
    <t>Neira</t>
  </si>
  <si>
    <t>Belalcazar</t>
  </si>
  <si>
    <t>La Cumbre</t>
  </si>
  <si>
    <t>Salento</t>
  </si>
  <si>
    <t>Santa Rosa De Cabal</t>
  </si>
  <si>
    <t>RIsaralda</t>
  </si>
  <si>
    <t>Pijao</t>
  </si>
  <si>
    <t>Zarzal</t>
  </si>
  <si>
    <t>Palmira</t>
  </si>
  <si>
    <t>Trujillo</t>
  </si>
  <si>
    <t>Argelia (Valle del cauca)</t>
  </si>
  <si>
    <t>Circasia</t>
  </si>
  <si>
    <t>Unión Panamericana ( Animas)</t>
  </si>
  <si>
    <t>Bugalagrande</t>
  </si>
  <si>
    <t>Nóvita</t>
  </si>
  <si>
    <t>Corinto</t>
  </si>
  <si>
    <t>Area Operativa 10 - Tolima</t>
  </si>
  <si>
    <t>Espinal</t>
  </si>
  <si>
    <t>Tolima</t>
  </si>
  <si>
    <t>Cajamarca</t>
  </si>
  <si>
    <t>Nariño (Cundinamarca)</t>
  </si>
  <si>
    <t>Cundinamarca</t>
  </si>
  <si>
    <t>Ibagué</t>
  </si>
  <si>
    <t>Murillo</t>
  </si>
  <si>
    <t>Puerto Salgar</t>
  </si>
  <si>
    <t>21/08/2026</t>
  </si>
  <si>
    <t>Villarrica</t>
  </si>
  <si>
    <t>Manzanares</t>
  </si>
  <si>
    <t>Fresno</t>
  </si>
  <si>
    <t>Pensilvania</t>
  </si>
  <si>
    <t>Venadillo</t>
  </si>
  <si>
    <t>Chaparral</t>
  </si>
  <si>
    <t>14/04/2026</t>
  </si>
  <si>
    <t>Area Operativa 11 - Cundinamarca-Amazonas-San Andrés</t>
  </si>
  <si>
    <t>Cabrera (Cundinamarca)</t>
  </si>
  <si>
    <t>San Cayetano (Cundinamarca)</t>
  </si>
  <si>
    <t>La Calera</t>
  </si>
  <si>
    <t>Villeta</t>
  </si>
  <si>
    <t>Quebradanegra</t>
  </si>
  <si>
    <t>Bojacá</t>
  </si>
  <si>
    <t>Chía</t>
  </si>
  <si>
    <t>Une</t>
  </si>
  <si>
    <t>Anapoima</t>
  </si>
  <si>
    <t>Bogota, D.C</t>
  </si>
  <si>
    <t>Bogotá</t>
  </si>
  <si>
    <t>Zipaquirá</t>
  </si>
  <si>
    <t>Nemocón</t>
  </si>
  <si>
    <t>Carmen De Carupa</t>
  </si>
  <si>
    <t>Silvania</t>
  </si>
  <si>
    <t>Facatativá</t>
  </si>
  <si>
    <t>Nimaima</t>
  </si>
  <si>
    <t>Guasca</t>
  </si>
  <si>
    <t>Carepa</t>
  </si>
  <si>
    <t>Retiro</t>
  </si>
  <si>
    <t>Ituango</t>
  </si>
  <si>
    <t>Turbo</t>
  </si>
  <si>
    <t>Cañasgordas</t>
  </si>
  <si>
    <t>Abejorral</t>
  </si>
  <si>
    <t>Pueblorrico</t>
  </si>
  <si>
    <t>Salamina (Caldas)</t>
  </si>
  <si>
    <t>San Luis (Antioquia)</t>
  </si>
  <si>
    <t>El Bagre</t>
  </si>
  <si>
    <t>22/07/2026</t>
  </si>
  <si>
    <t>Chigorodó</t>
  </si>
  <si>
    <t>Unguía</t>
  </si>
  <si>
    <t>Jardín</t>
  </si>
  <si>
    <t>San Marcos</t>
  </si>
  <si>
    <t>Magangué</t>
  </si>
  <si>
    <t>El Calvario</t>
  </si>
  <si>
    <t>Villanueva (Casanare)</t>
  </si>
  <si>
    <t>Neiva</t>
  </si>
  <si>
    <t>Inzá</t>
  </si>
  <si>
    <t>ORDEN PÚBLICO</t>
  </si>
  <si>
    <t>16/03/2023</t>
  </si>
  <si>
    <t>Natagaima</t>
  </si>
  <si>
    <t>Páez (Belalcázar)</t>
  </si>
  <si>
    <t>28/12/2021</t>
  </si>
  <si>
    <t>San Vicente Del Caguán</t>
  </si>
  <si>
    <t>El Doncello</t>
  </si>
  <si>
    <t>Acevedo</t>
  </si>
  <si>
    <t>Palestina (Huila)</t>
  </si>
  <si>
    <t>Ciénaga</t>
  </si>
  <si>
    <t>Agustín Codazzi</t>
  </si>
  <si>
    <t>Ventaquemada</t>
  </si>
  <si>
    <t>San Pablo De Borbur</t>
  </si>
  <si>
    <t>la estacion se homologo por ende cambio de nombre y codigo</t>
  </si>
  <si>
    <t>Paz De Ariporo</t>
  </si>
  <si>
    <t>Pesca</t>
  </si>
  <si>
    <t>Onzaga</t>
  </si>
  <si>
    <t>Siachoque</t>
  </si>
  <si>
    <t>Mongua</t>
  </si>
  <si>
    <t>Guayatá</t>
  </si>
  <si>
    <t>Monterrey</t>
  </si>
  <si>
    <t>Boavita</t>
  </si>
  <si>
    <t>Guicán</t>
  </si>
  <si>
    <t>Puerres</t>
  </si>
  <si>
    <t>Leiva</t>
  </si>
  <si>
    <t>San Sebastián</t>
  </si>
  <si>
    <t>Orito</t>
  </si>
  <si>
    <t>31/03/2023</t>
  </si>
  <si>
    <t>Guapi</t>
  </si>
  <si>
    <t>17/03/2023</t>
  </si>
  <si>
    <t>Cumbal</t>
  </si>
  <si>
    <t>13/10/2023</t>
  </si>
  <si>
    <t>Santa Rosa (Cauca)</t>
  </si>
  <si>
    <t>Cucutilla</t>
  </si>
  <si>
    <t>Cerrito</t>
  </si>
  <si>
    <t>Arauquita</t>
  </si>
  <si>
    <t>Málaga</t>
  </si>
  <si>
    <t>Teorama</t>
  </si>
  <si>
    <t>30/12/2020</t>
  </si>
  <si>
    <t>Chitagá</t>
  </si>
  <si>
    <t>Mutiscua</t>
  </si>
  <si>
    <t>Zapatoca</t>
  </si>
  <si>
    <t>Vetas</t>
  </si>
  <si>
    <t>Silos</t>
  </si>
  <si>
    <t>Ábrego</t>
  </si>
  <si>
    <t>Herrán</t>
  </si>
  <si>
    <t>Carcasí</t>
  </si>
  <si>
    <t>17/3/2023</t>
  </si>
  <si>
    <t>Villamaria</t>
  </si>
  <si>
    <t>Pereira</t>
  </si>
  <si>
    <t>Belén De Umbría</t>
  </si>
  <si>
    <t>Tadó</t>
  </si>
  <si>
    <t>Puracé (Coconuco)</t>
  </si>
  <si>
    <t>Jamundí</t>
  </si>
  <si>
    <t>Pueblo Rico</t>
  </si>
  <si>
    <t>21/10/2023</t>
  </si>
  <si>
    <t>17/02/2026</t>
  </si>
  <si>
    <t>Buga</t>
  </si>
  <si>
    <t>Riofrío</t>
  </si>
  <si>
    <t>El Tambo (Cauca)</t>
  </si>
  <si>
    <t>Prado</t>
  </si>
  <si>
    <t>Roncesvalles</t>
  </si>
  <si>
    <t>Saldaña</t>
  </si>
  <si>
    <t>Ambalema</t>
  </si>
  <si>
    <t>Puerto Nare</t>
  </si>
  <si>
    <t>Cunday</t>
  </si>
  <si>
    <t>Valle De San Juan</t>
  </si>
  <si>
    <t>Planadas</t>
  </si>
  <si>
    <t>Ricaurte (Cundinamarca)</t>
  </si>
  <si>
    <t>26/02/2026</t>
  </si>
  <si>
    <t>Anzoátegui</t>
  </si>
  <si>
    <t>Líbano</t>
  </si>
  <si>
    <t>25/02/2026</t>
  </si>
  <si>
    <t>Lérida</t>
  </si>
  <si>
    <t>Rovira</t>
  </si>
  <si>
    <t>Villahermosa</t>
  </si>
  <si>
    <t>Pasca</t>
  </si>
  <si>
    <t>Cogua</t>
  </si>
  <si>
    <t>La Mesa</t>
  </si>
  <si>
    <t>13/9/2023</t>
  </si>
  <si>
    <t>Ubaté</t>
  </si>
  <si>
    <t>Yacopí</t>
  </si>
  <si>
    <t>Guaduas</t>
  </si>
  <si>
    <t>CLIMATOLOGICAS</t>
  </si>
  <si>
    <t>Los Santos</t>
  </si>
  <si>
    <t>27/01/2025</t>
  </si>
  <si>
    <t>Juradó</t>
  </si>
  <si>
    <t>Bagadó</t>
  </si>
  <si>
    <t>Tarazá</t>
  </si>
  <si>
    <t>San Jacinto Del Cauca</t>
  </si>
  <si>
    <t>Arroyohondo</t>
  </si>
  <si>
    <t>Barranca De Upía</t>
  </si>
  <si>
    <t>Aipe</t>
  </si>
  <si>
    <t>Ariguaní (El Dificil)</t>
  </si>
  <si>
    <t>POR CAMBIO DE TECNOLOGIA</t>
  </si>
  <si>
    <t>CONVENCIONAL EN EL CNE</t>
  </si>
  <si>
    <t>Pueblo Bello</t>
  </si>
  <si>
    <t>24/02/2020</t>
  </si>
  <si>
    <t>El Paso</t>
  </si>
  <si>
    <t>23/08/2022</t>
  </si>
  <si>
    <t>Ataco</t>
  </si>
  <si>
    <t>17/01/2024</t>
  </si>
  <si>
    <t>La Palma</t>
  </si>
  <si>
    <t>Carmen Del Darién  (Curbaradó)</t>
  </si>
  <si>
    <t>Riosucio (Choco)</t>
  </si>
  <si>
    <t>Bojayá (Bellavista)</t>
  </si>
  <si>
    <t>Acandí</t>
  </si>
  <si>
    <t>Nuquí</t>
  </si>
  <si>
    <t>Medellín</t>
  </si>
  <si>
    <t>Zaragoza</t>
  </si>
  <si>
    <t>Santuario (Antioquia)</t>
  </si>
  <si>
    <t>Medio Atrato (Beté)</t>
  </si>
  <si>
    <t>CANAL DEL DIQUE - EN ESPERA DE DEFINICIÓN</t>
  </si>
  <si>
    <t>San Cristóbal</t>
  </si>
  <si>
    <t>San Jose De Ure</t>
  </si>
  <si>
    <t>Orocué</t>
  </si>
  <si>
    <t>26/07/2021</t>
  </si>
  <si>
    <t>La Pedrera</t>
  </si>
  <si>
    <t>Amazonas</t>
  </si>
  <si>
    <t>Nátaga</t>
  </si>
  <si>
    <t>Páez</t>
  </si>
  <si>
    <t>29/6/2021</t>
  </si>
  <si>
    <t>CONVENIO INTERADMINISTRATIVO No. 9677-PPAL001-162-2026 UNGRD, se encuentra para repotenciar por 1%</t>
  </si>
  <si>
    <t>26/10/2023</t>
  </si>
  <si>
    <t>SE RETIRARON LOS EQUIPOS POR ODEN PUBLICO - PROCESO DE SUSPENSIÓN</t>
  </si>
  <si>
    <t>La Tebaida</t>
  </si>
  <si>
    <t>Bajo Baudó (Pizarro)</t>
  </si>
  <si>
    <t>SINIESTRO - NO SE VISITO POR ORDEN PUBLICO</t>
  </si>
  <si>
    <t>Cáqueza</t>
  </si>
  <si>
    <t>Cubará</t>
  </si>
  <si>
    <t>Puerto Santander</t>
  </si>
  <si>
    <t>23/04/2024</t>
  </si>
  <si>
    <t>Tibú</t>
  </si>
  <si>
    <t>N/A</t>
  </si>
  <si>
    <t>Santa Rosa Del Sur</t>
  </si>
  <si>
    <t>27/05/2024</t>
  </si>
  <si>
    <t>Yondó (Casabe)</t>
  </si>
  <si>
    <t>20-10-2022</t>
  </si>
  <si>
    <t>Toribío</t>
  </si>
  <si>
    <t>19/02/2024</t>
  </si>
  <si>
    <t>Tuluá</t>
  </si>
  <si>
    <t>15/03/2024</t>
  </si>
  <si>
    <t>29/02/2024</t>
  </si>
  <si>
    <t>Cajibío</t>
  </si>
  <si>
    <t>22/02/2024</t>
  </si>
  <si>
    <t>Sardinata</t>
  </si>
  <si>
    <t>24/3/2024</t>
  </si>
  <si>
    <t>Argelia (Cauca)</t>
  </si>
  <si>
    <t>18/11/2023</t>
  </si>
  <si>
    <t>27/7/2024</t>
  </si>
  <si>
    <t>tx</t>
  </si>
  <si>
    <t>estado</t>
  </si>
  <si>
    <t>nom_auto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</si>
</sst>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;@"/>
  </numFmts>
  <fonts count="8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  <font>
      <sz val="10"/>
      <color rgb="FF000000"/>
      <name val="Arial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3737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5" fillId="0" borderId="0"/>
  </cellStyleXfs>
  <cellXfs count="97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/>
    <xf numFmtId="0" fontId="0" fillId="0" borderId="6" xfId="0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7" xfId="0" applyFill="1" applyBorder="1"/>
    <xf numFmtId="0" fontId="0" fillId="2" borderId="0" xfId="0" applyFill="1"/>
    <xf numFmtId="0" fontId="0" fillId="4" borderId="8" xfId="0" applyFill="1" applyBorder="1"/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NumberFormat="1"/>
    <xf numFmtId="0" fontId="0" fillId="6" borderId="0" xfId="0" applyFill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7" borderId="0" xfId="0" applyFill="1"/>
    <xf numFmtId="0" fontId="1" fillId="4" borderId="1" xfId="0" applyFont="1" applyFill="1" applyBorder="1" applyAlignment="1">
      <alignment vertical="center"/>
    </xf>
    <xf numFmtId="14" fontId="1" fillId="4" borderId="1" xfId="1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14" fontId="2" fillId="8" borderId="1" xfId="1" applyNumberFormat="1" applyFont="1" applyFill="1" applyBorder="1" applyAlignment="1">
      <alignment horizontal="center" vertical="center"/>
    </xf>
    <xf numFmtId="14" fontId="2" fillId="8" borderId="1" xfId="1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8" fontId="2" fillId="8" borderId="1" xfId="0" applyNumberFormat="1" applyFont="1" applyFill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2" fillId="0" borderId="9" xfId="1" applyNumberFormat="1" applyFont="1" applyBorder="1" applyAlignment="1">
      <alignment horizontal="center" vertical="center"/>
    </xf>
    <xf numFmtId="14" fontId="2" fillId="0" borderId="1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2" fillId="0" borderId="2" xfId="1" applyNumberFormat="1" applyFont="1" applyBorder="1" applyAlignment="1">
      <alignment horizontal="center" vertical="center"/>
    </xf>
    <xf numFmtId="14" fontId="2" fillId="0" borderId="5" xfId="1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indent="1"/>
    </xf>
    <xf numFmtId="0" fontId="2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4" fontId="4" fillId="0" borderId="2" xfId="1" applyNumberFormat="1" applyFont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7" fontId="7" fillId="0" borderId="2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2" borderId="0" xfId="0" applyNumberFormat="1" applyFill="1"/>
    <xf numFmtId="0" fontId="0" fillId="12" borderId="0" xfId="0" applyFill="1"/>
    <xf numFmtId="0" fontId="0" fillId="9" borderId="1" xfId="0" applyFill="1" applyBorder="1"/>
    <xf numFmtId="0" fontId="0" fillId="5" borderId="1" xfId="0" applyFill="1" applyBorder="1"/>
    <xf numFmtId="0" fontId="5" fillId="5" borderId="1" xfId="0" applyFont="1" applyFill="1" applyBorder="1"/>
  </cellXfs>
  <cellStyles count="2">
    <cellStyle name="Normal" xfId="0" builtinId="0"/>
    <cellStyle name="Normal 2" xfId="1" xr:uid="{171B55EE-F1AA-4A79-84AD-95DE9E68C9E1}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927170-62DC-451F-92A5-B6A3F0585B2B}" name="Tabla1" displayName="Tabla1" ref="A1:C420" totalsRowShown="0" headerRowDxfId="0" dataDxfId="5" headerRowBorderDxfId="6" tableBorderDxfId="4">
  <tableColumns count="3">
    <tableColumn id="1" xr3:uid="{40B2075D-B000-4BC7-8FA6-415CFACD8503}" name="No" dataDxfId="3"/>
    <tableColumn id="2" xr3:uid="{52D6D5F1-0E3A-4315-AD81-42CB62B7E2D8}" name="Nombre" dataDxfId="1"/>
    <tableColumn id="3" xr3:uid="{04107968-9FC6-4C2E-88BF-990C73FA5A28}" name="Codig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E5C9-FBCD-4041-B0B1-BFDAA61857CA}">
  <dimension ref="A1:E420"/>
  <sheetViews>
    <sheetView topLeftCell="A121" zoomScale="80" zoomScaleNormal="80" workbookViewId="0">
      <selection activeCell="H155" sqref="H155"/>
    </sheetView>
  </sheetViews>
  <sheetFormatPr baseColWidth="10" defaultRowHeight="15" x14ac:dyDescent="0.25"/>
  <cols>
    <col min="1" max="1" width="13.7109375" customWidth="1"/>
    <col min="2" max="2" width="75.7109375" style="25" customWidth="1"/>
    <col min="3" max="3" width="18" customWidth="1"/>
    <col min="4" max="4" width="18.7109375" customWidth="1"/>
    <col min="5" max="5" width="105.7109375" customWidth="1"/>
  </cols>
  <sheetData>
    <row r="1" spans="1:5" x14ac:dyDescent="0.25">
      <c r="A1" s="28" t="s">
        <v>0</v>
      </c>
      <c r="B1" s="29" t="s">
        <v>1</v>
      </c>
      <c r="C1" s="29" t="s">
        <v>2</v>
      </c>
    </row>
    <row r="2" spans="1:5" x14ac:dyDescent="0.25">
      <c r="A2" s="1">
        <v>1</v>
      </c>
      <c r="B2" s="21" t="s">
        <v>3</v>
      </c>
      <c r="C2" s="2">
        <v>26207080</v>
      </c>
      <c r="E2" t="str">
        <f>+_xlfn.XLOOKUP(Tabla1[[#This Row],[Codigo]],Hoja2!$D$2:$D$420,Hoja2!$C$2:$C$420)</f>
        <v>BOLOMBOLO [26207080;AO 01;FONDO ADAPTACION]</v>
      </c>
    </row>
    <row r="3" spans="1:5" x14ac:dyDescent="0.25">
      <c r="A3" s="3">
        <v>2</v>
      </c>
      <c r="B3" s="21" t="s">
        <v>4</v>
      </c>
      <c r="C3" s="2">
        <v>26185050</v>
      </c>
      <c r="E3" t="str">
        <f>+_xlfn.XLOOKUP(Tabla1[[#This Row],[Codigo]],Hoja2!$D$2:$D$420,Hoja2!$C$2:$C$420)</f>
        <v>SANTA BARBARA [26185050;AO 01;FONDO ADAPTACION]</v>
      </c>
    </row>
    <row r="4" spans="1:5" x14ac:dyDescent="0.25">
      <c r="A4" s="1">
        <v>3</v>
      </c>
      <c r="B4" s="21" t="s">
        <v>5</v>
      </c>
      <c r="C4" s="2">
        <v>27015280</v>
      </c>
      <c r="E4" t="str">
        <f>+_xlfn.XLOOKUP(Tabla1[[#This Row],[Codigo]],Hoja2!$D$2:$D$420,Hoja2!$C$2:$C$420)</f>
        <v>PARAMO BELMIRA [27015280;AO 01;FONDO ADAPTACION]</v>
      </c>
    </row>
    <row r="5" spans="1:5" x14ac:dyDescent="0.25">
      <c r="A5" s="1">
        <v>4</v>
      </c>
      <c r="B5" s="21" t="s">
        <v>6</v>
      </c>
      <c r="C5" s="2">
        <v>26247010</v>
      </c>
      <c r="E5" t="str">
        <f>+_xlfn.XLOOKUP(Tabla1[[#This Row],[Codigo]],Hoja2!$D$2:$D$420,Hoja2!$C$2:$C$420)</f>
        <v>HACIENDA PALMIRA [26247010;AO 01;FONDO ADAPTACION]</v>
      </c>
    </row>
    <row r="6" spans="1:5" x14ac:dyDescent="0.25">
      <c r="A6" s="1">
        <v>5</v>
      </c>
      <c r="B6" s="21" t="s">
        <v>7</v>
      </c>
      <c r="C6" s="2">
        <v>23085080</v>
      </c>
      <c r="E6" t="str">
        <f>+_xlfn.XLOOKUP(Tabla1[[#This Row],[Codigo]],Hoja2!$D$2:$D$420,Hoja2!$C$2:$C$420)</f>
        <v>GRANJA EXPERIMENTAL EL NUS [23085080;AO 01;FONDO ADAPTACION]</v>
      </c>
    </row>
    <row r="7" spans="1:5" x14ac:dyDescent="0.25">
      <c r="A7" s="1">
        <v>6</v>
      </c>
      <c r="B7" s="21" t="s">
        <v>8</v>
      </c>
      <c r="C7" s="2">
        <v>11027030</v>
      </c>
      <c r="E7" t="str">
        <f>+_xlfn.XLOOKUP(Tabla1[[#This Row],[Codigo]],Hoja2!$D$2:$D$420,Hoja2!$C$2:$C$420)</f>
        <v>EL SIETE [11027030; AO 01; FONDO ADAPTACION]</v>
      </c>
    </row>
    <row r="8" spans="1:5" x14ac:dyDescent="0.25">
      <c r="A8" s="1">
        <v>7</v>
      </c>
      <c r="B8" s="21" t="s">
        <v>9</v>
      </c>
      <c r="C8" s="2">
        <v>23087150</v>
      </c>
      <c r="E8" s="27" t="str">
        <f>+_xlfn.XLOOKUP(Tabla1[[#This Row],[Codigo]],Hoja2!$D$2:$D$420,Hoja2!$C$2:$C$420)</f>
        <v>C_PUENTE REAL [23087150</v>
      </c>
    </row>
    <row r="9" spans="1:5" x14ac:dyDescent="0.25">
      <c r="A9" s="1">
        <v>8</v>
      </c>
      <c r="B9" s="21" t="s">
        <v>10</v>
      </c>
      <c r="C9" s="2">
        <v>27027060</v>
      </c>
      <c r="E9" t="str">
        <f>+_xlfn.XLOOKUP(Tabla1[[#This Row],[Codigo]],Hoja2!$D$2:$D$420,Hoja2!$C$2:$C$420)</f>
        <v>BRISAS DEL NECHI [27027060;AO 01;FONDO ADAPTACION]</v>
      </c>
    </row>
    <row r="10" spans="1:5" x14ac:dyDescent="0.25">
      <c r="A10" s="3">
        <v>9</v>
      </c>
      <c r="B10" s="21" t="s">
        <v>11</v>
      </c>
      <c r="C10" s="2">
        <v>11047020</v>
      </c>
      <c r="E10" s="27" t="str">
        <f>+_xlfn.XLOOKUP(Tabla1[[#This Row],[Codigo]],Hoja2!$D$2:$D$420,Hoja2!$C$2:$C$420)</f>
        <v>C_QUIBDO [11047020; AO 01;FONDO ADAPTACION]</v>
      </c>
    </row>
    <row r="11" spans="1:5" x14ac:dyDescent="0.25">
      <c r="A11" s="1">
        <v>10</v>
      </c>
      <c r="B11" s="21" t="s">
        <v>12</v>
      </c>
      <c r="C11" s="2">
        <v>2702500107</v>
      </c>
      <c r="E11" t="str">
        <f>+_xlfn.XLOOKUP(Tabla1[[#This Row],[Codigo]],Hoja2!$D$2:$D$420,Hoja2!$C$2:$C$420)</f>
        <v>ANGOSTURA - AUT   [2702500107]</v>
      </c>
    </row>
    <row r="12" spans="1:5" x14ac:dyDescent="0.25">
      <c r="A12" s="1">
        <v>11</v>
      </c>
      <c r="B12" s="21" t="s">
        <v>13</v>
      </c>
      <c r="C12" s="2">
        <v>1111500036</v>
      </c>
      <c r="E12" t="str">
        <f>+_xlfn.XLOOKUP(Tabla1[[#This Row],[Codigo]],Hoja2!$D$2:$D$420,Hoja2!$C$2:$C$420)</f>
        <v>ABRIAQUI [1111500036; AO 01;FONDO ADAPTACION]</v>
      </c>
    </row>
    <row r="13" spans="1:5" x14ac:dyDescent="0.25">
      <c r="A13" s="1">
        <v>12</v>
      </c>
      <c r="B13" s="21" t="s">
        <v>14</v>
      </c>
      <c r="C13" s="2">
        <v>26247020</v>
      </c>
      <c r="E13" t="str">
        <f>+_xlfn.XLOOKUP(Tabla1[[#This Row],[Codigo]],Hoja2!$D$2:$D$420,Hoja2!$C$2:$C$420)</f>
        <v>LA COQUERA [26247020;AO 01;IDEAM]</v>
      </c>
    </row>
    <row r="14" spans="1:5" x14ac:dyDescent="0.25">
      <c r="A14" s="1">
        <v>13</v>
      </c>
      <c r="B14" s="21" t="s">
        <v>15</v>
      </c>
      <c r="C14" s="2">
        <v>11117050</v>
      </c>
      <c r="E14" t="str">
        <f>+_xlfn.XLOOKUP(Tabla1[[#This Row],[Codigo]],Hoja2!$D$2:$D$420,Hoja2!$C$2:$C$420)</f>
        <v>DABEIBA 2 [11117050; AO-01;FONDO ADAPTACION]</v>
      </c>
    </row>
    <row r="15" spans="1:5" x14ac:dyDescent="0.25">
      <c r="A15" s="1">
        <v>14</v>
      </c>
      <c r="B15" s="21" t="s">
        <v>16</v>
      </c>
      <c r="C15" s="2">
        <v>26255030</v>
      </c>
      <c r="E15" s="27" t="str">
        <f>+_xlfn.XLOOKUP(Tabla1[[#This Row],[Codigo]],Hoja2!$D$2:$D$420,Hoja2!$C$2:$C$420)</f>
        <v>C_SANTA ISABEL VALDIVIA [26255030;AO 01;FONDO ADAPTACION]</v>
      </c>
    </row>
    <row r="16" spans="1:5" x14ac:dyDescent="0.25">
      <c r="A16" s="1">
        <v>15</v>
      </c>
      <c r="B16" s="21" t="s">
        <v>17</v>
      </c>
      <c r="C16" s="2">
        <v>1111500203</v>
      </c>
      <c r="E16" t="str">
        <f>+_xlfn.XLOOKUP(Tabla1[[#This Row],[Codigo]],Hoja2!$D$2:$D$420,Hoja2!$C$2:$C$420)</f>
        <v>CAMPO ALEGRE [1111500203;AO 01;AUTOPISTAS AL MAR 2]</v>
      </c>
    </row>
    <row r="17" spans="1:5" x14ac:dyDescent="0.25">
      <c r="A17" s="3">
        <v>16</v>
      </c>
      <c r="B17" s="21" t="s">
        <v>18</v>
      </c>
      <c r="C17" s="2">
        <v>11035010</v>
      </c>
      <c r="E17" t="str">
        <f>+_xlfn.XLOOKUP(Tabla1[[#This Row],[Codigo]],Hoja2!$D$2:$D$420,Hoja2!$C$2:$C$420)</f>
        <v>LLORO [11035010;AO 01;FONDO ADAPTACION]</v>
      </c>
    </row>
    <row r="18" spans="1:5" x14ac:dyDescent="0.25">
      <c r="A18" s="1">
        <v>17</v>
      </c>
      <c r="B18" s="21" t="s">
        <v>19</v>
      </c>
      <c r="C18" s="2">
        <v>23105070</v>
      </c>
      <c r="E18" t="str">
        <f>+_xlfn.XLOOKUP(Tabla1[[#This Row],[Codigo]],Hoja2!$D$2:$D$420,Hoja2!$C$2:$C$420)</f>
        <v>MACEO [23105070; AO 01;FONDO ADAPTACION]</v>
      </c>
    </row>
    <row r="19" spans="1:5" x14ac:dyDescent="0.25">
      <c r="A19" s="1">
        <v>18</v>
      </c>
      <c r="B19" s="21" t="s">
        <v>20</v>
      </c>
      <c r="C19" s="2">
        <v>26180180</v>
      </c>
      <c r="E19" t="str">
        <f>+_xlfn.XLOOKUP(Tabla1[[#This Row],[Codigo]],Hoja2!$D$2:$D$420,Hoja2!$C$2:$C$420)</f>
        <v>SONSON [26180180;AO 01;FONDO ADAPTACION]</v>
      </c>
    </row>
    <row r="20" spans="1:5" x14ac:dyDescent="0.25">
      <c r="A20" s="1">
        <v>19</v>
      </c>
      <c r="B20" s="21" t="s">
        <v>21</v>
      </c>
      <c r="C20" s="2">
        <v>27015320</v>
      </c>
      <c r="E20" t="str">
        <f>+_xlfn.XLOOKUP(Tabla1[[#This Row],[Codigo]],Hoja2!$D$2:$D$420,Hoja2!$C$2:$C$420)</f>
        <v>ARAGON [27015320;AO 01;FONDO ADAPTACION]</v>
      </c>
    </row>
    <row r="21" spans="1:5" x14ac:dyDescent="0.25">
      <c r="A21" s="1">
        <v>20</v>
      </c>
      <c r="B21" s="21" t="s">
        <v>22</v>
      </c>
      <c r="C21" s="2">
        <v>25027050</v>
      </c>
      <c r="E21" t="str">
        <f>+_xlfn.XLOOKUP(Tabla1[[#This Row],[Codigo]],Hoja2!$D$2:$D$420,Hoja2!$C$2:$C$420)</f>
        <v>MARGENTO [25027050;AO 01;FONDO ADAPTACION]</v>
      </c>
    </row>
    <row r="22" spans="1:5" x14ac:dyDescent="0.25">
      <c r="A22" s="1">
        <v>21</v>
      </c>
      <c r="B22" s="21" t="s">
        <v>23</v>
      </c>
      <c r="C22" s="2">
        <v>11057020</v>
      </c>
      <c r="E22" t="str">
        <f>+_xlfn.XLOOKUP(Tabla1[[#This Row],[Codigo]],Hoja2!$D$2:$D$420,Hoja2!$C$2:$C$420)</f>
        <v>SAN ANTONIO PADUA [11057020; AO 01;FONDO ADAPTACION]</v>
      </c>
    </row>
    <row r="23" spans="1:5" x14ac:dyDescent="0.25">
      <c r="A23" s="1">
        <v>22</v>
      </c>
      <c r="B23" s="21" t="s">
        <v>24</v>
      </c>
      <c r="C23" s="2">
        <v>23085260</v>
      </c>
      <c r="E23" t="str">
        <f>+_xlfn.XLOOKUP(Tabla1[[#This Row],[Codigo]],Hoja2!$D$2:$D$420,Hoja2!$C$2:$C$420)</f>
        <v>LA SELVA [23085260; AO 01;FONDO ADAPTACION]</v>
      </c>
    </row>
    <row r="24" spans="1:5" x14ac:dyDescent="0.25">
      <c r="A24" s="3">
        <v>23</v>
      </c>
      <c r="B24" s="21" t="s">
        <v>25</v>
      </c>
      <c r="C24" s="2">
        <v>26225060</v>
      </c>
      <c r="E24" t="str">
        <f>+_xlfn.XLOOKUP(Tabla1[[#This Row],[Codigo]],Hoja2!$D$2:$D$420,Hoja2!$C$2:$C$420)</f>
        <v>HACIENDA COTOVE [26225060;AO 01;FONDO ADAPTACION]</v>
      </c>
    </row>
    <row r="25" spans="1:5" x14ac:dyDescent="0.25">
      <c r="A25" s="1">
        <v>24</v>
      </c>
      <c r="B25" s="21" t="s">
        <v>26</v>
      </c>
      <c r="C25" s="2">
        <v>27015310</v>
      </c>
      <c r="E25" t="str">
        <f>+_xlfn.XLOOKUP(Tabla1[[#This Row],[Codigo]],Hoja2!$D$2:$D$420,Hoja2!$C$2:$C$420)</f>
        <v>METROMEDELLIN [27015310;AO 01;FONDO ADAPTACION]</v>
      </c>
    </row>
    <row r="26" spans="1:5" x14ac:dyDescent="0.25">
      <c r="A26" s="1">
        <v>25</v>
      </c>
      <c r="B26" s="21" t="s">
        <v>27</v>
      </c>
      <c r="C26" s="2">
        <v>26217010</v>
      </c>
      <c r="E26" t="str">
        <f>+_xlfn.XLOOKUP(Tabla1[[#This Row],[Codigo]],Hoja2!$D$2:$D$420,Hoja2!$C$2:$C$420)</f>
        <v>LA GALERA [26217010;AO 01;FONDO ADAPTACION]</v>
      </c>
    </row>
    <row r="27" spans="1:5" x14ac:dyDescent="0.25">
      <c r="A27" s="1">
        <v>26</v>
      </c>
      <c r="B27" s="21" t="s">
        <v>28</v>
      </c>
      <c r="C27" s="2">
        <v>25017010</v>
      </c>
      <c r="E27" t="str">
        <f>+_xlfn.XLOOKUP(Tabla1[[#This Row],[Codigo]],Hoja2!$D$2:$D$420,Hoja2!$C$2:$C$420)</f>
        <v>MONTELIBANO - AUT [25017010; AO 02; FONDO ADAPTACION]</v>
      </c>
    </row>
    <row r="28" spans="1:5" x14ac:dyDescent="0.25">
      <c r="A28" s="1">
        <v>27</v>
      </c>
      <c r="B28" s="21" t="s">
        <v>29</v>
      </c>
      <c r="C28" s="2">
        <v>25017020</v>
      </c>
      <c r="E28" t="str">
        <f>+_xlfn.XLOOKUP(Tabla1[[#This Row],[Codigo]],Hoja2!$D$2:$D$420,Hoja2!$C$2:$C$420)</f>
        <v>SAN PEDRO - AUT [25017020; AO02; FONDO ADAPTACION]</v>
      </c>
    </row>
    <row r="29" spans="1:5" x14ac:dyDescent="0.25">
      <c r="A29" s="1">
        <v>28</v>
      </c>
      <c r="B29" s="21" t="s">
        <v>30</v>
      </c>
      <c r="C29" s="2">
        <v>29035200</v>
      </c>
      <c r="E29" t="str">
        <f>+_xlfn.XLOOKUP(Tabla1[[#This Row],[Codigo]],Hoja2!$D$2:$D$420,Hoja2!$C$2:$C$420)</f>
        <v>REPELON - AUT [29035200; A0 02; FONDO ADAPTACION]</v>
      </c>
    </row>
    <row r="30" spans="1:5" x14ac:dyDescent="0.25">
      <c r="A30" s="1">
        <v>29</v>
      </c>
      <c r="B30" s="21" t="s">
        <v>31</v>
      </c>
      <c r="C30" s="2">
        <v>29015000</v>
      </c>
      <c r="E30" t="str">
        <f>+_xlfn.XLOOKUP(Tabla1[[#This Row],[Codigo]],Hoja2!$D$2:$D$420,Hoja2!$C$2:$C$420)</f>
        <v>EL GUAMO - AUT [29015000; AO 02; FONDO ADAPTACION]</v>
      </c>
    </row>
    <row r="31" spans="1:5" x14ac:dyDescent="0.25">
      <c r="A31" s="3">
        <v>30</v>
      </c>
      <c r="B31" s="21" t="s">
        <v>32</v>
      </c>
      <c r="C31" s="2">
        <v>13067020</v>
      </c>
      <c r="E31" t="str">
        <f>+_xlfn.XLOOKUP(Tabla1[[#This Row],[Codigo]],Hoja2!$D$2:$D$420,Hoja2!$C$2:$C$420)</f>
        <v>MONTERIA  - AUT [13067020; AO 02; FONDO ADAPTACION]</v>
      </c>
    </row>
    <row r="32" spans="1:5" x14ac:dyDescent="0.25">
      <c r="A32" s="1">
        <v>31</v>
      </c>
      <c r="B32" s="21" t="s">
        <v>33</v>
      </c>
      <c r="C32" s="2">
        <v>25017030</v>
      </c>
      <c r="E32" t="str">
        <f>+_xlfn.XLOOKUP(Tabla1[[#This Row],[Codigo]],Hoja2!$D$2:$D$420,Hoja2!$C$2:$C$420)</f>
        <v>PICA PICA  - AUT [25017030; COR; HID; GOES: CB1EE5FC; AO02; FONDO ADAPTACION]</v>
      </c>
    </row>
    <row r="33" spans="1:5" x14ac:dyDescent="0.25">
      <c r="A33" s="1">
        <v>32</v>
      </c>
      <c r="B33" s="21" t="s">
        <v>34</v>
      </c>
      <c r="C33" s="2">
        <v>25025190</v>
      </c>
      <c r="E33" t="str">
        <f>+_xlfn.XLOOKUP(Tabla1[[#This Row],[Codigo]],Hoja2!$D$2:$D$420,Hoja2!$C$2:$C$420)</f>
        <v>PLANETA RICA  - AUT [25025190; AO 02; FONDO ADAPTACION]</v>
      </c>
    </row>
    <row r="34" spans="1:5" x14ac:dyDescent="0.25">
      <c r="A34" s="1">
        <v>33</v>
      </c>
      <c r="B34" s="21" t="s">
        <v>35</v>
      </c>
      <c r="C34" s="2">
        <v>13027040</v>
      </c>
      <c r="E34" t="e">
        <f>+_xlfn.XLOOKUP(Tabla1[[#This Row],[Codigo]],Hoja2!$D$2:$D$420,Hoja2!$C$2:$C$420)</f>
        <v>#N/A</v>
      </c>
    </row>
    <row r="35" spans="1:5" x14ac:dyDescent="0.25">
      <c r="A35" s="1">
        <v>34</v>
      </c>
      <c r="B35" s="21" t="s">
        <v>36</v>
      </c>
      <c r="C35" s="2">
        <v>2904700095</v>
      </c>
      <c r="E35" t="str">
        <f>+_xlfn.XLOOKUP(Tabla1[[#This Row],[Codigo]],Hoja2!$D$2:$D$420,Hoja2!$C$2:$C$420)</f>
        <v>REMOLINO - MAG - AUT   [2904700095; AO 02; FONDO ADAPTACION]</v>
      </c>
    </row>
    <row r="36" spans="1:5" x14ac:dyDescent="0.25">
      <c r="A36" s="1">
        <v>35</v>
      </c>
      <c r="B36" s="21" t="s">
        <v>37</v>
      </c>
      <c r="C36" s="2">
        <v>1206500136</v>
      </c>
      <c r="E36" t="str">
        <f>+_xlfn.XLOOKUP(Tabla1[[#This Row],[Codigo]],Hoja2!$D$2:$D$420,Hoja2!$C$2:$C$420)</f>
        <v>UNIVERSIDAD UNAD CARTAGENA - AUT   [1206500136; AO 02; FONDO ADPTACION ]</v>
      </c>
    </row>
    <row r="37" spans="1:5" x14ac:dyDescent="0.25">
      <c r="A37" s="1">
        <v>36</v>
      </c>
      <c r="B37" s="21" t="s">
        <v>38</v>
      </c>
      <c r="C37" s="2">
        <v>25020140</v>
      </c>
      <c r="E37" s="27" t="str">
        <f>+_xlfn.XLOOKUP(Tabla1[[#This Row],[Codigo]],Hoja2!$D$2:$D$420,Hoja2!$C$2:$C$420)</f>
        <v>C_SAHAGUN  [25020140; AO 02;FONDO ADAPTACION]</v>
      </c>
    </row>
    <row r="38" spans="1:5" x14ac:dyDescent="0.25">
      <c r="A38" s="3">
        <v>37</v>
      </c>
      <c r="B38" s="21" t="s">
        <v>39</v>
      </c>
      <c r="C38" s="2">
        <v>13077060</v>
      </c>
      <c r="E38" t="str">
        <f>+_xlfn.XLOOKUP(Tabla1[[#This Row],[Codigo]],Hoja2!$D$2:$D$420,Hoja2!$C$2:$C$420)</f>
        <v>COTOCA ABAJO  - AUT [13077060; AO 02; FONDO ADAPTACION]</v>
      </c>
    </row>
    <row r="39" spans="1:5" x14ac:dyDescent="0.25">
      <c r="A39" s="1">
        <v>38</v>
      </c>
      <c r="B39" s="21" t="s">
        <v>40</v>
      </c>
      <c r="C39" s="2">
        <v>12045020</v>
      </c>
      <c r="E39" t="str">
        <f>+_xlfn.XLOOKUP(Tabla1[[#This Row],[Codigo]],Hoja2!$D$2:$D$420,Hoja2!$C$2:$C$420)</f>
        <v>CRISTO REY  - AUT [12045020; AO 02; FONDO ADAPTACION]</v>
      </c>
    </row>
    <row r="40" spans="1:5" x14ac:dyDescent="0.25">
      <c r="A40" s="1">
        <v>39</v>
      </c>
      <c r="B40" s="21" t="s">
        <v>41</v>
      </c>
      <c r="C40" s="2">
        <v>12067001</v>
      </c>
      <c r="E40" t="str">
        <f>+_xlfn.XLOOKUP(Tabla1[[#This Row],[Codigo]],Hoja2!$D$2:$D$420,Hoja2!$C$2:$C$420)</f>
        <v>GUAJARO EMBALSE AUT [12067001; A0 02; CANAL DEL DIQUE]</v>
      </c>
    </row>
    <row r="41" spans="1:5" x14ac:dyDescent="0.25">
      <c r="A41" s="1">
        <v>40</v>
      </c>
      <c r="B41" s="21" t="s">
        <v>42</v>
      </c>
      <c r="C41" s="2">
        <v>29035080</v>
      </c>
      <c r="E41" t="str">
        <f>+_xlfn.XLOOKUP(Tabla1[[#This Row],[Codigo]],Hoja2!$D$2:$D$420,Hoja2!$C$2:$C$420)</f>
        <v>NORMAL MANATI  - AUT [29035080; A0 02; FONDO ADAPTACION]</v>
      </c>
    </row>
    <row r="42" spans="1:5" x14ac:dyDescent="0.25">
      <c r="A42" s="1">
        <v>41</v>
      </c>
      <c r="B42" s="21" t="s">
        <v>43</v>
      </c>
      <c r="C42" s="2">
        <v>14019030</v>
      </c>
      <c r="E42" t="str">
        <f>+_xlfn.XLOOKUP(Tabla1[[#This Row],[Codigo]],Hoja2!$D$2:$D$420,Hoja2!$C$2:$C$420)</f>
        <v>ESCUELA NAVAL CIOH - AUT [14019030; AO02; CANAL DEL DIQUE]</v>
      </c>
    </row>
    <row r="43" spans="1:5" x14ac:dyDescent="0.25">
      <c r="A43" s="1">
        <v>42</v>
      </c>
      <c r="B43" s="21" t="s">
        <v>44</v>
      </c>
      <c r="C43" s="2">
        <v>29015040</v>
      </c>
      <c r="E43" t="str">
        <f>+_xlfn.XLOOKUP(Tabla1[[#This Row],[Codigo]],Hoja2!$D$2:$D$420,Hoja2!$C$2:$C$420)</f>
        <v>CARMEN DE BOLIVAR  - AUT [29015040; AO 02; FONDO ADAPTACION ]</v>
      </c>
    </row>
    <row r="44" spans="1:5" x14ac:dyDescent="0.25">
      <c r="A44" s="1">
        <v>43</v>
      </c>
      <c r="B44" s="21" t="s">
        <v>45</v>
      </c>
      <c r="C44" s="2">
        <v>25025280</v>
      </c>
      <c r="E44" t="str">
        <f>+_xlfn.XLOOKUP(Tabla1[[#This Row],[Codigo]],Hoja2!$D$2:$D$420,Hoja2!$C$2:$C$420)</f>
        <v>EL TESORO IDEAM  - AUT [25025280; AO 02; FONDO ADAPTACION]</v>
      </c>
    </row>
    <row r="45" spans="1:5" x14ac:dyDescent="0.25">
      <c r="A45" s="3">
        <v>44</v>
      </c>
      <c r="B45" s="21" t="s">
        <v>46</v>
      </c>
      <c r="C45" s="2">
        <v>29035000</v>
      </c>
      <c r="E45" t="str">
        <f>+_xlfn.XLOOKUP(Tabla1[[#This Row],[Codigo]],Hoja2!$D$2:$D$420,Hoja2!$C$2:$C$420)</f>
        <v>SINCERIN  - AUT [29035000; AO 02; MET; GPRS; FONDO ADAPTACION]</v>
      </c>
    </row>
    <row r="46" spans="1:5" x14ac:dyDescent="0.25">
      <c r="A46" s="1">
        <v>45</v>
      </c>
      <c r="B46" s="21" t="s">
        <v>47</v>
      </c>
      <c r="C46" s="2">
        <v>29004520</v>
      </c>
      <c r="E46" t="str">
        <f>+_xlfn.XLOOKUP(Tabla1[[#This Row],[Codigo]],Hoja2!$D$2:$D$420,Hoja2!$C$2:$C$420)</f>
        <v>ESCUELA NAVAL BARRANQUILLA  - AUT [29004520; AO 02; FONDO ADAPTACION]</v>
      </c>
    </row>
    <row r="47" spans="1:5" x14ac:dyDescent="0.25">
      <c r="A47" s="1">
        <v>46</v>
      </c>
      <c r="B47" s="21" t="s">
        <v>48</v>
      </c>
      <c r="C47" s="2">
        <v>35025110</v>
      </c>
      <c r="E47" t="str">
        <f>+_xlfn.XLOOKUP(Tabla1[[#This Row],[Codigo]],Hoja2!$D$2:$D$420,Hoja2!$C$2:$C$420)</f>
        <v>LA LIBERTAD - AUT [35025110;AO 03;FONDO ADAPTACION]</v>
      </c>
    </row>
    <row r="48" spans="1:5" x14ac:dyDescent="0.25">
      <c r="A48" s="1">
        <v>47</v>
      </c>
      <c r="B48" s="21" t="s">
        <v>49</v>
      </c>
      <c r="C48" s="2">
        <v>35037100</v>
      </c>
      <c r="E48" t="str">
        <f>+_xlfn.XLOOKUP(Tabla1[[#This Row],[Codigo]],Hoja2!$D$2:$D$420,Hoja2!$C$2:$C$420)</f>
        <v>PUENTE ABADIA - AUT [35037100;AO 03;FONDO ADAPTACION]</v>
      </c>
    </row>
    <row r="49" spans="1:5" x14ac:dyDescent="0.25">
      <c r="A49" s="1">
        <v>48</v>
      </c>
      <c r="B49" s="21" t="s">
        <v>50</v>
      </c>
      <c r="C49" s="2">
        <v>3206500058</v>
      </c>
      <c r="E49" t="str">
        <f>+_xlfn.XLOOKUP(Tabla1[[#This Row],[Codigo]],Hoja2!$D$2:$D$420,Hoja2!$C$2:$C$420)</f>
        <v>LEJANÍAS - AUT [3206500058;AO 03;FONDO ADAPTACION]</v>
      </c>
    </row>
    <row r="50" spans="1:5" x14ac:dyDescent="0.25">
      <c r="A50" s="1">
        <v>49</v>
      </c>
      <c r="B50" s="21" t="s">
        <v>51</v>
      </c>
      <c r="C50" s="2">
        <v>35035100</v>
      </c>
      <c r="E50" t="str">
        <f>+_xlfn.XLOOKUP(Tabla1[[#This Row],[Codigo]],Hoja2!$D$2:$D$420,Hoja2!$C$2:$C$420)</f>
        <v>ICA VILLAVICENCIO - AUT [35035100;AO 03;FONDO ADAPTACION]</v>
      </c>
    </row>
    <row r="51" spans="1:5" x14ac:dyDescent="0.25">
      <c r="A51" s="1">
        <v>50</v>
      </c>
      <c r="B51" s="21" t="s">
        <v>52</v>
      </c>
      <c r="C51" s="2">
        <v>42077020</v>
      </c>
      <c r="E51" t="str">
        <f>+_xlfn.XLOOKUP(Tabla1[[#This Row],[Codigo]],Hoja2!$D$2:$D$420,Hoja2!$C$2:$C$420)</f>
        <v>MITU [42077020;AO 03;FONDO ADAPTACION]</v>
      </c>
    </row>
    <row r="52" spans="1:5" x14ac:dyDescent="0.25">
      <c r="A52" s="3">
        <v>51</v>
      </c>
      <c r="B52" s="21" t="s">
        <v>53</v>
      </c>
      <c r="C52" s="2">
        <v>35017020</v>
      </c>
      <c r="E52" t="str">
        <f>+_xlfn.XLOOKUP(Tabla1[[#This Row],[Codigo]],Hoja2!$D$2:$D$420,Hoja2!$C$2:$C$420)</f>
        <v>PUENTE LLERAS - AUT [35017020;AO 03;FONDO ADAPTACION]</v>
      </c>
    </row>
    <row r="53" spans="1:5" x14ac:dyDescent="0.25">
      <c r="A53" s="1">
        <v>52</v>
      </c>
      <c r="B53" s="21" t="s">
        <v>54</v>
      </c>
      <c r="C53" s="2">
        <v>3206500059</v>
      </c>
      <c r="E53" t="str">
        <f>+_xlfn.XLOOKUP(Tabla1[[#This Row],[Codigo]],Hoja2!$D$2:$D$420,Hoja2!$C$2:$C$420)</f>
        <v>VISTA HERMOSA - AUT [3206500059;AO 03;FONDO ADAPTACION]</v>
      </c>
    </row>
    <row r="54" spans="1:5" x14ac:dyDescent="0.25">
      <c r="A54" s="1">
        <v>53</v>
      </c>
      <c r="B54" s="21" t="s">
        <v>55</v>
      </c>
      <c r="C54" s="2">
        <v>33035010</v>
      </c>
      <c r="E54" t="str">
        <f>+_xlfn.XLOOKUP(Tabla1[[#This Row],[Codigo]],Hoja2!$D$2:$D$420,Hoja2!$C$2:$C$420)</f>
        <v>CARIMAGUA - AUT [33035010;AO 03;TERRITORIOS VERDES]</v>
      </c>
    </row>
    <row r="55" spans="1:5" x14ac:dyDescent="0.25">
      <c r="A55" s="1">
        <v>54</v>
      </c>
      <c r="B55" s="21" t="s">
        <v>56</v>
      </c>
      <c r="C55" s="2">
        <v>32067030</v>
      </c>
      <c r="E55" t="str">
        <f>+_xlfn.XLOOKUP(Tabla1[[#This Row],[Codigo]],Hoja2!$D$2:$D$420,Hoja2!$C$2:$C$420)</f>
        <v>PUERTO ANGOSTURAS - AUT [32067030; AO 03;IDEAM]</v>
      </c>
    </row>
    <row r="56" spans="1:5" x14ac:dyDescent="0.25">
      <c r="A56" s="1">
        <v>55</v>
      </c>
      <c r="B56" s="21" t="s">
        <v>57</v>
      </c>
      <c r="C56" s="2">
        <v>3206500045</v>
      </c>
      <c r="E56" t="str">
        <f>+_xlfn.XLOOKUP(Tabla1[[#This Row],[Codigo]],Hoja2!$D$2:$D$420,Hoja2!$C$2:$C$420)</f>
        <v>GRANADA SENA - AUT [3206500045;AO 03;FONDO ADAPTACION]</v>
      </c>
    </row>
    <row r="57" spans="1:5" x14ac:dyDescent="0.25">
      <c r="A57" s="1">
        <v>56</v>
      </c>
      <c r="B57" s="21" t="s">
        <v>58</v>
      </c>
      <c r="C57" s="2">
        <v>35035110</v>
      </c>
      <c r="E57" s="27" t="str">
        <f>+_xlfn.XLOOKUP(Tabla1[[#This Row],[Codigo]],Hoja2!$D$2:$D$420,Hoja2!$C$2:$C$420)</f>
        <v>C_SALINAS DE UPIN - AUT [35035110;AO 03;FONDO ADAPTACION]</v>
      </c>
    </row>
    <row r="58" spans="1:5" x14ac:dyDescent="0.25">
      <c r="A58" s="1">
        <v>57</v>
      </c>
      <c r="B58" s="21" t="s">
        <v>59</v>
      </c>
      <c r="C58" s="2">
        <v>35027140</v>
      </c>
      <c r="E58" t="str">
        <f>+_xlfn.XLOOKUP(Tabla1[[#This Row],[Codigo]],Hoja2!$D$2:$D$420,Hoja2!$C$2:$C$420)</f>
        <v>PUENTE CARRETERA - AUT [35027140;AO 03;FONDO ADAPTACION]</v>
      </c>
    </row>
    <row r="59" spans="1:5" x14ac:dyDescent="0.25">
      <c r="A59" s="3">
        <v>58</v>
      </c>
      <c r="B59" s="21" t="s">
        <v>60</v>
      </c>
      <c r="C59" s="2">
        <v>21015020</v>
      </c>
      <c r="E59" t="str">
        <f>+_xlfn.XLOOKUP(Tabla1[[#This Row],[Codigo]],Hoja2!$D$2:$D$420,Hoja2!$C$2:$C$420)</f>
        <v>SEVILLA  - AUT [21015020; AO 04; MET; GPRS; FONDO ADAPTACION]</v>
      </c>
    </row>
    <row r="60" spans="1:5" x14ac:dyDescent="0.25">
      <c r="A60" s="1">
        <v>59</v>
      </c>
      <c r="B60" s="21" t="s">
        <v>61</v>
      </c>
      <c r="C60" s="2">
        <v>4403700097</v>
      </c>
      <c r="E60" t="str">
        <f>+_xlfn.XLOOKUP(Tabla1[[#This Row],[Codigo]],Hoja2!$D$2:$D$420,Hoja2!$C$2:$C$420)</f>
        <v>SUCRE - AUT   [4403700097; CAQ; HID; GOES: CB10C9AA; AO04; FONDO ADAPTACION]</v>
      </c>
    </row>
    <row r="61" spans="1:5" x14ac:dyDescent="0.25">
      <c r="A61" s="1">
        <v>60</v>
      </c>
      <c r="B61" s="21" t="s">
        <v>62</v>
      </c>
      <c r="C61" s="2">
        <v>21057060</v>
      </c>
      <c r="E61" t="str">
        <f>+_xlfn.XLOOKUP(Tabla1[[#This Row],[Codigo]],Hoja2!$D$2:$D$420,Hoja2!$C$2:$C$420)</f>
        <v>PAICOL - AUT [21057060; AO 04; HID; GPRS; FONDO ADAPTACION]</v>
      </c>
    </row>
    <row r="62" spans="1:5" x14ac:dyDescent="0.25">
      <c r="A62" s="1">
        <v>61</v>
      </c>
      <c r="B62" s="21" t="s">
        <v>63</v>
      </c>
      <c r="C62" s="2">
        <v>21105030</v>
      </c>
      <c r="E62" t="str">
        <f>+_xlfn.XLOOKUP(Tabla1[[#This Row],[Codigo]],Hoja2!$D$2:$D$420,Hoja2!$C$2:$C$420)</f>
        <v>ALGECIRAS - AUT [21105030; AO 04; MET; GPRS; FONDO ADAPTACION]</v>
      </c>
    </row>
    <row r="63" spans="1:5" x14ac:dyDescent="0.25">
      <c r="A63" s="1">
        <v>62</v>
      </c>
      <c r="B63" s="21" t="s">
        <v>64</v>
      </c>
      <c r="C63" s="2">
        <v>21015030</v>
      </c>
      <c r="E63" t="str">
        <f>+_xlfn.XLOOKUP(Tabla1[[#This Row],[Codigo]],Hoja2!$D$2:$D$420,Hoja2!$C$2:$C$420)</f>
        <v>PARQUE ARQUEOLOGICO - AUT [21015030; HUI; MET; GPRS; AO04; FONDO ADAPTACION]</v>
      </c>
    </row>
    <row r="64" spans="1:5" x14ac:dyDescent="0.25">
      <c r="A64" s="1">
        <v>63</v>
      </c>
      <c r="B64" s="21" t="s">
        <v>65</v>
      </c>
      <c r="C64" s="2">
        <v>21115180</v>
      </c>
      <c r="E64" t="str">
        <f>+_xlfn.XLOOKUP(Tabla1[[#This Row],[Codigo]],Hoja2!$D$2:$D$420,Hoja2!$C$2:$C$420)</f>
        <v>HACIENDA MANILA - AUT [21115180]</v>
      </c>
    </row>
    <row r="65" spans="1:5" x14ac:dyDescent="0.25">
      <c r="A65" s="1">
        <v>64</v>
      </c>
      <c r="B65" s="21" t="s">
        <v>66</v>
      </c>
      <c r="C65" s="2">
        <v>44035040</v>
      </c>
      <c r="E65" t="str">
        <f>+_xlfn.XLOOKUP(Tabla1[[#This Row],[Codigo]],Hoja2!$D$2:$D$420,Hoja2!$C$2:$C$420)</f>
        <v>FLORENCIA - AUT [44035040; AO 04; MET; GPRS; FONDO ADAPTACION]</v>
      </c>
    </row>
    <row r="66" spans="1:5" x14ac:dyDescent="0.25">
      <c r="A66" s="3">
        <v>65</v>
      </c>
      <c r="B66" s="21" t="s">
        <v>67</v>
      </c>
      <c r="C66" s="2">
        <v>21145080</v>
      </c>
      <c r="E66" t="str">
        <f>+_xlfn.XLOOKUP(Tabla1[[#This Row],[Codigo]],Hoja2!$D$2:$D$420,Hoja2!$C$2:$C$420)</f>
        <v>SANTA ANA - AUT [21145080; AO 04; MET; GPRS; FONDO ADAPTACION]</v>
      </c>
    </row>
    <row r="67" spans="1:5" x14ac:dyDescent="0.25">
      <c r="A67" s="1">
        <v>66</v>
      </c>
      <c r="B67" s="21" t="s">
        <v>68</v>
      </c>
      <c r="C67" s="2">
        <v>21057050</v>
      </c>
      <c r="E67" t="str">
        <f>+_xlfn.XLOOKUP(Tabla1[[#This Row],[Codigo]],Hoja2!$D$2:$D$420,Hoja2!$C$2:$C$420)</f>
        <v>VEGA EL SALADO  - AUT [21057050; AO 04; HID; GPRS; FONDO ADAPTACION]</v>
      </c>
    </row>
    <row r="68" spans="1:5" x14ac:dyDescent="0.25">
      <c r="A68" s="1">
        <v>67</v>
      </c>
      <c r="B68" s="21" t="s">
        <v>69</v>
      </c>
      <c r="C68" s="2">
        <v>21017030</v>
      </c>
      <c r="E68" t="str">
        <f>+_xlfn.XLOOKUP(Tabla1[[#This Row],[Codigo]],Hoja2!$D$2:$D$420,Hoja2!$C$2:$C$420)</f>
        <v>CASCADA SIMON BOLIVAR  - AUT [21017030; AO 04; HID; GPRS; FONDO ADAPTACION]</v>
      </c>
    </row>
    <row r="69" spans="1:5" x14ac:dyDescent="0.25">
      <c r="A69" s="1">
        <v>68</v>
      </c>
      <c r="B69" s="21" t="s">
        <v>70</v>
      </c>
      <c r="C69" s="2">
        <v>44037080</v>
      </c>
      <c r="E69" t="str">
        <f>+_xlfn.XLOOKUP(Tabla1[[#This Row],[Codigo]],Hoja2!$D$2:$D$420,Hoja2!$C$2:$C$420)</f>
        <v>MORELIA  - AUT [44037080; AO 04; HID; GPRS; FONDO ADAPTACION]</v>
      </c>
    </row>
    <row r="70" spans="1:5" x14ac:dyDescent="0.25">
      <c r="A70" s="1">
        <v>69</v>
      </c>
      <c r="B70" s="21" t="s">
        <v>71</v>
      </c>
      <c r="C70" s="2">
        <v>21127030</v>
      </c>
      <c r="E70" t="str">
        <f>+_xlfn.XLOOKUP(Tabla1[[#This Row],[Codigo]],Hoja2!$D$2:$D$420,Hoja2!$C$2:$C$420)</f>
        <v>SANTA MARIA  - AUT [21127030; AO 04; HID; GPRS; FONDO ADAPTACION]</v>
      </c>
    </row>
    <row r="71" spans="1:5" x14ac:dyDescent="0.25">
      <c r="A71" s="1">
        <v>70</v>
      </c>
      <c r="B71" s="21" t="s">
        <v>72</v>
      </c>
      <c r="C71" s="2">
        <v>21097120</v>
      </c>
      <c r="E71" t="str">
        <f>+_xlfn.XLOOKUP(Tabla1[[#This Row],[Codigo]],Hoja2!$D$2:$D$420,Hoja2!$C$2:$C$420)</f>
        <v>LA ESPERANZA - AUT [21097120; AO 04; HID; GPRS; FONDO ADAPTACION]</v>
      </c>
    </row>
    <row r="72" spans="1:5" x14ac:dyDescent="0.25">
      <c r="A72" s="1">
        <v>71</v>
      </c>
      <c r="B72" s="21" t="s">
        <v>73</v>
      </c>
      <c r="C72" s="2">
        <v>25025360</v>
      </c>
      <c r="E72" t="str">
        <f>+_xlfn.XLOOKUP(Tabla1[[#This Row],[Codigo]],Hoja2!$D$2:$D$420,Hoja2!$C$2:$C$420)</f>
        <v>AEROPUERTO LAS FLORES  - AUT [25025360; AO 05; MET; GPRS; FONDO ADAPTACION]</v>
      </c>
    </row>
    <row r="73" spans="1:5" x14ac:dyDescent="0.25">
      <c r="A73" s="3">
        <v>72</v>
      </c>
      <c r="B73" s="21" t="s">
        <v>74</v>
      </c>
      <c r="C73" s="2">
        <v>29065130</v>
      </c>
      <c r="E73" t="str">
        <f>+_xlfn.XLOOKUP(Tabla1[[#This Row],[Codigo]],Hoja2!$D$2:$D$420,Hoja2!$C$2:$C$420)</f>
        <v>LA GRAN VIA - AUT [29065130; AO 05; MET; GPRS; FONDO ADAPTACION]</v>
      </c>
    </row>
    <row r="74" spans="1:5" x14ac:dyDescent="0.25">
      <c r="A74" s="1">
        <v>73</v>
      </c>
      <c r="B74" s="21" t="s">
        <v>75</v>
      </c>
      <c r="C74" s="2">
        <v>15015120</v>
      </c>
      <c r="E74" t="str">
        <f>+_xlfn.XLOOKUP(Tabla1[[#This Row],[Codigo]],Hoja2!$D$2:$D$420,Hoja2!$C$2:$C$420)</f>
        <v>UNIVERSIDAD TECNOLOGICA  - AUT [15015120; AO 05; MET; GPRS; FONDO ADAPTACION]</v>
      </c>
    </row>
    <row r="75" spans="1:5" x14ac:dyDescent="0.25">
      <c r="A75" s="1">
        <v>74</v>
      </c>
      <c r="B75" s="21" t="s">
        <v>76</v>
      </c>
      <c r="C75" s="2">
        <v>28035060</v>
      </c>
      <c r="E75" t="str">
        <f>+_xlfn.XLOOKUP(Tabla1[[#This Row],[Codigo]],Hoja2!$D$2:$D$420,Hoja2!$C$2:$C$420)</f>
        <v>FEDEARROZ - AUT [28035060; AO 05; MET; GPRS; FONDO ADAPTACION]</v>
      </c>
    </row>
    <row r="76" spans="1:5" x14ac:dyDescent="0.25">
      <c r="A76" s="1">
        <v>75</v>
      </c>
      <c r="B76" s="21" t="s">
        <v>77</v>
      </c>
      <c r="C76" s="2">
        <v>29065120</v>
      </c>
      <c r="E76" t="str">
        <f>+_xlfn.XLOOKUP(Tabla1[[#This Row],[Codigo]],Hoja2!$D$2:$D$420,Hoja2!$C$2:$C$420)</f>
        <v>BATALLON NO. 6 - AUT [29065120; AO 05; FONDO ADAPTACION]</v>
      </c>
    </row>
    <row r="77" spans="1:5" x14ac:dyDescent="0.25">
      <c r="A77" s="1">
        <v>76</v>
      </c>
      <c r="B77" s="21" t="s">
        <v>78</v>
      </c>
      <c r="C77" s="2">
        <v>29065000</v>
      </c>
      <c r="E77" t="str">
        <f>+_xlfn.XLOOKUP(Tabla1[[#This Row],[Codigo]],Hoja2!$D$2:$D$420,Hoja2!$C$2:$C$420)</f>
        <v>MEDIA LUNA - AUT [29065000; AO 05; MET; GPRS; FONDO ADAPTACION]</v>
      </c>
    </row>
    <row r="78" spans="1:5" x14ac:dyDescent="0.25">
      <c r="A78" s="1">
        <v>77</v>
      </c>
      <c r="B78" s="21" t="s">
        <v>79</v>
      </c>
      <c r="C78" s="2">
        <v>28037030</v>
      </c>
      <c r="E78" t="str">
        <f>+_xlfn.XLOOKUP(Tabla1[[#This Row],[Codigo]],Hoja2!$D$2:$D$420,Hoja2!$C$2:$C$420)</f>
        <v>PUENTE SALGUERO  - AUT [28037030; AO 05; HID; GPRS; FONDO ADAPTACION]</v>
      </c>
    </row>
    <row r="79" spans="1:5" x14ac:dyDescent="0.25">
      <c r="A79" s="1">
        <v>78</v>
      </c>
      <c r="B79" s="21" t="s">
        <v>80</v>
      </c>
      <c r="C79" s="2">
        <v>2802500079</v>
      </c>
      <c r="E79" t="e">
        <f>+_xlfn.XLOOKUP(Tabla1[[#This Row],[Codigo]],Hoja2!$D$2:$D$420,Hoja2!$C$2:$C$420)</f>
        <v>#N/A</v>
      </c>
    </row>
    <row r="80" spans="1:5" x14ac:dyDescent="0.25">
      <c r="A80" s="3">
        <v>79</v>
      </c>
      <c r="B80" s="21" t="s">
        <v>81</v>
      </c>
      <c r="C80" s="2">
        <v>2805500075</v>
      </c>
      <c r="E80" t="str">
        <f>+_xlfn.XLOOKUP(Tabla1[[#This Row],[Codigo]],Hoja2!$D$2:$D$420,Hoja2!$C$2:$C$420)</f>
        <v>CURUMANÍ - AUT [2805500075; AO 05; MET; GPRS; FONDO ADAPTACION]</v>
      </c>
    </row>
    <row r="81" spans="1:5" x14ac:dyDescent="0.25">
      <c r="A81" s="1">
        <v>80</v>
      </c>
      <c r="B81" s="21" t="s">
        <v>82</v>
      </c>
      <c r="C81" s="2">
        <v>29067150</v>
      </c>
      <c r="E81" t="str">
        <f>+_xlfn.XLOOKUP(Tabla1[[#This Row],[Codigo]],Hoja2!$D$2:$D$420,Hoja2!$C$2:$C$420)</f>
        <v>GANADERIA CARIBE  - AUT [29067150;AO05; FONDO ADAPTACION]</v>
      </c>
    </row>
    <row r="82" spans="1:5" x14ac:dyDescent="0.25">
      <c r="A82" s="1">
        <v>81</v>
      </c>
      <c r="B82" s="21" t="s">
        <v>83</v>
      </c>
      <c r="C82" s="2">
        <v>25025330</v>
      </c>
      <c r="E82" t="str">
        <f>+_xlfn.XLOOKUP(Tabla1[[#This Row],[Codigo]],Hoja2!$D$2:$D$420,Hoja2!$C$2:$C$420)</f>
        <v>COLEGIO AGROPECUARIO PAILITAS  - AUT [25025330; AO 05; MET; GPRS; FONDO ADAPTACION]</v>
      </c>
    </row>
    <row r="83" spans="1:5" x14ac:dyDescent="0.25">
      <c r="A83" s="1">
        <v>82</v>
      </c>
      <c r="B83" s="21" t="s">
        <v>84</v>
      </c>
      <c r="C83" s="2">
        <v>35085070</v>
      </c>
      <c r="E83" t="str">
        <f>+_xlfn.XLOOKUP(Tabla1[[#This Row],[Codigo]],Hoja2!$D$2:$D$420,Hoja2!$C$2:$C$420)</f>
        <v>SANTA MARIA - AUT [35085070; AO06; MET; GPRS; PURAC]</v>
      </c>
    </row>
    <row r="84" spans="1:5" x14ac:dyDescent="0.25">
      <c r="A84" s="1">
        <v>83</v>
      </c>
      <c r="B84" s="21" t="s">
        <v>85</v>
      </c>
      <c r="C84" s="2">
        <v>35085060</v>
      </c>
      <c r="E84" t="str">
        <f>+_xlfn.XLOOKUP(Tabla1[[#This Row],[Codigo]],Hoja2!$D$2:$D$420,Hoja2!$C$2:$C$420)</f>
        <v>ZETAQUIRA - AUT [35085060; AO 06; MET; GPRS; FONDO ADAPTACION]</v>
      </c>
    </row>
    <row r="85" spans="1:5" x14ac:dyDescent="0.25">
      <c r="A85" s="1">
        <v>84</v>
      </c>
      <c r="B85" s="21" t="s">
        <v>86</v>
      </c>
      <c r="C85" s="2">
        <v>35085080</v>
      </c>
      <c r="E85" t="str">
        <f>+_xlfn.XLOOKUP(Tabla1[[#This Row],[Codigo]],Hoja2!$D$2:$D$420,Hoja2!$C$2:$C$420)</f>
        <v>LA CAPILLA - AUT [35085080; AO 06; MET; GPRS;  FONDO ADAPTACION]</v>
      </c>
    </row>
    <row r="86" spans="1:5" x14ac:dyDescent="0.25">
      <c r="A86" s="1">
        <v>85</v>
      </c>
      <c r="B86" s="21" t="s">
        <v>87</v>
      </c>
      <c r="C86" s="2">
        <v>35075070</v>
      </c>
      <c r="E86" s="27" t="str">
        <f>+_xlfn.XLOOKUP(Tabla1[[#This Row],[Codigo]],Hoja2!$D$2:$D$420,Hoja2!$C$2:$C$420)</f>
        <v>C_CHINAVITA - AUT [35075070; AO 06; MET; GPRS;  FONDO ADAPTACION]</v>
      </c>
    </row>
    <row r="87" spans="1:5" x14ac:dyDescent="0.25">
      <c r="A87" s="3">
        <v>86</v>
      </c>
      <c r="B87" s="21" t="s">
        <v>88</v>
      </c>
      <c r="C87" s="2">
        <v>35095120</v>
      </c>
      <c r="E87" t="str">
        <f>+_xlfn.XLOOKUP(Tabla1[[#This Row],[Codigo]],Hoja2!$D$2:$D$420,Hoja2!$C$2:$C$420)</f>
        <v>AQUITANIA - AUT [35095120; AO 06; MET; GPRS; FONDO ADAPTACION]</v>
      </c>
    </row>
    <row r="88" spans="1:5" x14ac:dyDescent="0.25">
      <c r="A88" s="1">
        <v>87</v>
      </c>
      <c r="B88" s="21" t="s">
        <v>89</v>
      </c>
      <c r="C88" s="2">
        <v>24035360</v>
      </c>
      <c r="E88" s="27" t="str">
        <f>+_xlfn.XLOOKUP(Tabla1[[#This Row],[Codigo]],Hoja2!$D$2:$D$420,Hoja2!$C$2:$C$420)</f>
        <v>C_SOCHA - AUT [24035360;AO 06; MET; GPRS; FONDO ADAPTACION]</v>
      </c>
    </row>
    <row r="89" spans="1:5" x14ac:dyDescent="0.25">
      <c r="A89" s="1">
        <v>88</v>
      </c>
      <c r="B89" s="21" t="s">
        <v>90</v>
      </c>
      <c r="C89" s="2">
        <v>24035410</v>
      </c>
      <c r="E89" s="27" t="str">
        <f>+_xlfn.XLOOKUP(Tabla1[[#This Row],[Codigo]],Hoja2!$D$2:$D$420,Hoja2!$C$2:$C$420)</f>
        <v>C_SOGAMOSO - AUT [24035410;  AO 06; MET; GPRS; FONDO ADAPTACION]</v>
      </c>
    </row>
    <row r="90" spans="1:5" x14ac:dyDescent="0.25">
      <c r="A90" s="1">
        <v>89</v>
      </c>
      <c r="B90" s="21" t="s">
        <v>91</v>
      </c>
      <c r="C90" s="2">
        <v>24035370</v>
      </c>
      <c r="E90" t="str">
        <f>+_xlfn.XLOOKUP(Tabla1[[#This Row],[Codigo]],Hoja2!$D$2:$D$420,Hoja2!$C$2:$C$420)</f>
        <v>EL ESPINO - AUT [24035370;  AO 06; MET; GPRS; FONDO ADAPTACION]</v>
      </c>
    </row>
    <row r="91" spans="1:5" x14ac:dyDescent="0.25">
      <c r="A91" s="1">
        <v>90</v>
      </c>
      <c r="B91" s="21" t="s">
        <v>92</v>
      </c>
      <c r="C91" s="2">
        <v>24035250</v>
      </c>
      <c r="E91" t="str">
        <f>+_xlfn.XLOOKUP(Tabla1[[#This Row],[Codigo]],Hoja2!$D$2:$D$420,Hoja2!$C$2:$C$420)</f>
        <v>CHITA  - AUT [24035250; AO 06; MET; GPRS; FONDO ADAPTACION]</v>
      </c>
    </row>
    <row r="92" spans="1:5" x14ac:dyDescent="0.25">
      <c r="A92" s="1">
        <v>91</v>
      </c>
      <c r="B92" s="21" t="s">
        <v>93</v>
      </c>
      <c r="C92" s="2">
        <v>24015300</v>
      </c>
      <c r="E92" t="str">
        <f>+_xlfn.XLOOKUP(Tabla1[[#This Row],[Codigo]],Hoja2!$D$2:$D$420,Hoja2!$C$2:$C$420)</f>
        <v>VILLA DE LEIVA  - AUT [24015300; AO06; MET; GPRS; FONDO ADAPTACION]</v>
      </c>
    </row>
    <row r="93" spans="1:5" x14ac:dyDescent="0.25">
      <c r="A93" s="1">
        <v>92</v>
      </c>
      <c r="B93" s="21" t="s">
        <v>94</v>
      </c>
      <c r="C93" s="2">
        <v>35217010</v>
      </c>
      <c r="E93" t="str">
        <f>+_xlfn.XLOOKUP(Tabla1[[#This Row],[Codigo]],Hoja2!$D$2:$D$420,Hoja2!$C$2:$C$420)</f>
        <v>PUENTE YOPAL  - AUT [35217010;  AO 06; MET; GPRS; FONDO ADAPTACION]</v>
      </c>
    </row>
    <row r="94" spans="1:5" x14ac:dyDescent="0.25">
      <c r="A94" s="3">
        <v>93</v>
      </c>
      <c r="B94" s="21" t="s">
        <v>95</v>
      </c>
      <c r="C94" s="2">
        <v>24017740</v>
      </c>
      <c r="E94" s="27" t="str">
        <f>+_xlfn.XLOOKUP(Tabla1[[#This Row],[Codigo]],Hoja2!$D$2:$D$420,Hoja2!$C$2:$C$420)</f>
        <v>C_PUENTE CHACON  - AUT [24017740; AO06; HID; GOES; FONDO ADAPTACION]</v>
      </c>
    </row>
    <row r="95" spans="1:5" x14ac:dyDescent="0.25">
      <c r="A95" s="1">
        <v>94</v>
      </c>
      <c r="B95" s="21" t="s">
        <v>96</v>
      </c>
      <c r="C95" s="2">
        <v>2401500086</v>
      </c>
      <c r="E95" t="str">
        <f>+_xlfn.XLOOKUP(Tabla1[[#This Row],[Codigo]],Hoja2!$D$2:$D$420,Hoja2!$C$2:$C$420)</f>
        <v>UNIVERSIDAD PEDAGÓGICA Y TECNOLÓGICA DE COLOMBIA TUNJA - AUT [2401500086; BOY; MET; WIFI; AO06; FONDO ADAPTACION]</v>
      </c>
    </row>
    <row r="96" spans="1:5" x14ac:dyDescent="0.25">
      <c r="A96" s="1">
        <v>95</v>
      </c>
      <c r="B96" s="21" t="s">
        <v>97</v>
      </c>
      <c r="C96" s="2">
        <v>2401500080</v>
      </c>
      <c r="E96" t="e">
        <f>+_xlfn.XLOOKUP(Tabla1[[#This Row],[Codigo]],Hoja2!$D$2:$D$420,Hoja2!$C$2:$C$420)</f>
        <v>#N/A</v>
      </c>
    </row>
    <row r="97" spans="1:5" x14ac:dyDescent="0.25">
      <c r="A97" s="1">
        <v>96</v>
      </c>
      <c r="B97" s="21" t="s">
        <v>98</v>
      </c>
      <c r="C97" s="2">
        <v>2403500041</v>
      </c>
      <c r="E97" t="str">
        <f>+_xlfn.XLOOKUP(Tabla1[[#This Row],[Codigo]],Hoja2!$D$2:$D$420,Hoja2!$C$2:$C$420)</f>
        <v>DUITAMA - AUT  [2403500041; AO 06; MET; GPRS; FONDO ADAPTACION]</v>
      </c>
    </row>
    <row r="98" spans="1:5" x14ac:dyDescent="0.25">
      <c r="A98" s="1">
        <v>97</v>
      </c>
      <c r="B98" s="21" t="s">
        <v>99</v>
      </c>
      <c r="C98" s="2">
        <v>24037190</v>
      </c>
      <c r="E98" t="str">
        <f>+_xlfn.XLOOKUP(Tabla1[[#This Row],[Codigo]],Hoja2!$D$2:$D$420,Hoja2!$C$2:$C$420)</f>
        <v>SAN RAFAEL  - AUT [24037190; AO 06; HID; GPRS;  FONDO ADAPTACION]</v>
      </c>
    </row>
    <row r="99" spans="1:5" x14ac:dyDescent="0.25">
      <c r="A99" s="1">
        <v>98</v>
      </c>
      <c r="B99" s="21" t="s">
        <v>100</v>
      </c>
      <c r="C99" s="2">
        <v>3602700101</v>
      </c>
      <c r="E99" t="str">
        <f>+_xlfn.XLOOKUP(Tabla1[[#This Row],[Codigo]],Hoja2!$D$2:$D$420,Hoja2!$C$2:$C$420)</f>
        <v>SAN SALVADOR - AUT   [3602700101; A0 06; HID; GPRS; FONDO ADAPTACION ]</v>
      </c>
    </row>
    <row r="100" spans="1:5" x14ac:dyDescent="0.25">
      <c r="A100" s="1">
        <v>99</v>
      </c>
      <c r="B100" s="21" t="s">
        <v>101</v>
      </c>
      <c r="C100" s="2">
        <v>24037030</v>
      </c>
      <c r="E100" t="str">
        <f>+_xlfn.XLOOKUP(Tabla1[[#This Row],[Codigo]],Hoja2!$D$2:$D$420,Hoja2!$C$2:$C$420)</f>
        <v>EL PALO - AUT [24037030;  AO06; HID; GPRS; FONDO ADAPTACION]</v>
      </c>
    </row>
    <row r="101" spans="1:5" x14ac:dyDescent="0.25">
      <c r="A101" s="3">
        <v>100</v>
      </c>
      <c r="B101" s="21" t="s">
        <v>102</v>
      </c>
      <c r="C101" s="2">
        <v>3519700092</v>
      </c>
      <c r="E101" t="str">
        <f>+_xlfn.XLOOKUP(Tabla1[[#This Row],[Codigo]],Hoja2!$D$2:$D$420,Hoja2!$C$2:$C$420)</f>
        <v>MANI - AUT   [3519700092; AO 06; HID; GPRS; FONDO ADAPTACION ]</v>
      </c>
    </row>
    <row r="102" spans="1:5" x14ac:dyDescent="0.25">
      <c r="A102" s="1">
        <v>101</v>
      </c>
      <c r="B102" s="21" t="s">
        <v>103</v>
      </c>
      <c r="C102" s="2">
        <v>24037290</v>
      </c>
      <c r="E102" t="str">
        <f>+_xlfn.XLOOKUP(Tabla1[[#This Row],[Codigo]],Hoja2!$D$2:$D$420,Hoja2!$C$2:$C$420)</f>
        <v>PUENTE CHAMEZA  - AUT [24037290; AO06; HID; GPRS;  FONDO ADAPTACION]</v>
      </c>
    </row>
    <row r="103" spans="1:5" x14ac:dyDescent="0.25">
      <c r="A103" s="1">
        <v>102</v>
      </c>
      <c r="B103" s="21" t="s">
        <v>104</v>
      </c>
      <c r="C103" s="2">
        <v>23125140</v>
      </c>
      <c r="E103" s="27" t="str">
        <f>+_xlfn.XLOOKUP(Tabla1[[#This Row],[Codigo]],Hoja2!$D$2:$D$420,Hoja2!$C$2:$C$420)</f>
        <v>C_AEROPUERTO FURATENA  - AUT [23125140; AO06; MET; FONDO ADAPTACION]</v>
      </c>
    </row>
    <row r="104" spans="1:5" x14ac:dyDescent="0.25">
      <c r="A104" s="1">
        <v>103</v>
      </c>
      <c r="B104" s="21" t="s">
        <v>105</v>
      </c>
      <c r="C104" s="2">
        <v>24017600</v>
      </c>
      <c r="E104" t="str">
        <f>+_xlfn.XLOOKUP(Tabla1[[#This Row],[Codigo]],Hoja2!$D$2:$D$420,Hoja2!$C$2:$C$420)</f>
        <v>MONIQUIRA  - AUT [24017600; AO 06; HID; GPRS; FONDO ADAPTACION]</v>
      </c>
    </row>
    <row r="105" spans="1:5" x14ac:dyDescent="0.25">
      <c r="A105" s="1">
        <v>104</v>
      </c>
      <c r="B105" s="21" t="s">
        <v>106</v>
      </c>
      <c r="C105" s="2">
        <v>35197020</v>
      </c>
      <c r="E105" t="str">
        <f>+_xlfn.XLOOKUP(Tabla1[[#This Row],[Codigo]],Hoja2!$D$2:$D$420,Hoja2!$C$2:$C$420)</f>
        <v>VADO HONDO  - AUT [35197020;AO06; HID; GOES; FONDO ADAPTACION]</v>
      </c>
    </row>
    <row r="106" spans="1:5" x14ac:dyDescent="0.25">
      <c r="A106" s="1">
        <v>105</v>
      </c>
      <c r="B106" s="21" t="s">
        <v>107</v>
      </c>
      <c r="C106" s="2">
        <v>52055220</v>
      </c>
      <c r="E106" t="str">
        <f>+_xlfn.XLOOKUP(Tabla1[[#This Row],[Codigo]],Hoja2!$D$2:$D$420,Hoja2!$C$2:$C$420)</f>
        <v>EL PARAISO - AUT [52055220; AO 07; MET; GPRS; FONDO ADAPTACION]</v>
      </c>
    </row>
    <row r="107" spans="1:5" x14ac:dyDescent="0.25">
      <c r="A107" s="1">
        <v>106</v>
      </c>
      <c r="B107" s="21" t="s">
        <v>108</v>
      </c>
      <c r="C107" s="2">
        <v>52055210</v>
      </c>
      <c r="E107" t="str">
        <f>+_xlfn.XLOOKUP(Tabla1[[#This Row],[Codigo]],Hoja2!$D$2:$D$420,Hoja2!$C$2:$C$420)</f>
        <v>BOTANA - AUT [52055210; AO 07; FONDO ADAPTACION]</v>
      </c>
    </row>
    <row r="108" spans="1:5" x14ac:dyDescent="0.25">
      <c r="A108" s="3">
        <v>107</v>
      </c>
      <c r="B108" s="21" t="s">
        <v>109</v>
      </c>
      <c r="C108" s="2">
        <v>52035040</v>
      </c>
      <c r="E108" s="27" t="str">
        <f>+_xlfn.XLOOKUP(Tabla1[[#This Row],[Codigo]],Hoja2!$D$2:$D$420,Hoja2!$C$2:$C$420)</f>
        <v>C_VIENTO LIBRE - AUT [52035040;AO 07;FONDO ADAPTACION]</v>
      </c>
    </row>
    <row r="109" spans="1:5" x14ac:dyDescent="0.25">
      <c r="A109" s="1">
        <v>108</v>
      </c>
      <c r="B109" s="21" t="s">
        <v>110</v>
      </c>
      <c r="C109" s="2">
        <v>51039010</v>
      </c>
      <c r="E109" s="27" t="str">
        <f>+_xlfn.XLOOKUP(Tabla1[[#This Row],[Codigo]],Hoja2!$D$2:$D$420,Hoja2!$C$2:$C$420)</f>
        <v>C_TUMACO - AUT [51039010; AO 07; FONDO ADAPTACION]</v>
      </c>
    </row>
    <row r="110" spans="1:5" x14ac:dyDescent="0.25">
      <c r="A110" s="1">
        <v>109</v>
      </c>
      <c r="B110" s="21" t="s">
        <v>111</v>
      </c>
      <c r="C110" s="2">
        <v>52045080</v>
      </c>
      <c r="E110" t="str">
        <f>+_xlfn.XLOOKUP(Tabla1[[#This Row],[Codigo]],Hoja2!$D$2:$D$420,Hoja2!$C$2:$C$420)</f>
        <v>UNIVERSIDAD DE NARINO  - AUT [52045080; AO 07 ; FONDO ADAPTACION]</v>
      </c>
    </row>
    <row r="111" spans="1:5" x14ac:dyDescent="0.25">
      <c r="A111" s="1">
        <v>110</v>
      </c>
      <c r="B111" s="21" t="s">
        <v>112</v>
      </c>
      <c r="C111" s="2">
        <v>52025090</v>
      </c>
      <c r="E111" t="str">
        <f>+_xlfn.XLOOKUP(Tabla1[[#This Row],[Codigo]],Hoja2!$D$2:$D$420,Hoja2!$C$2:$C$420)</f>
        <v>LA SIERRA - AUT [52025090; AO 07; MET; GPRS; FONDO ADAPTACION]</v>
      </c>
    </row>
    <row r="112" spans="1:5" x14ac:dyDescent="0.25">
      <c r="A112" s="1">
        <v>111</v>
      </c>
      <c r="B112" s="21" t="s">
        <v>113</v>
      </c>
      <c r="C112" s="4">
        <v>52010020</v>
      </c>
      <c r="E112" t="str">
        <f>+_xlfn.XLOOKUP(Tabla1[[#This Row],[Codigo]],Hoja2!$D$2:$D$420,Hoja2!$C$2:$C$420)</f>
        <v>BALBOA - AUT [52010020; AO07; FONDO ADAPTACION]</v>
      </c>
    </row>
    <row r="113" spans="1:5" x14ac:dyDescent="0.25">
      <c r="A113" s="1">
        <v>112</v>
      </c>
      <c r="B113" s="21" t="s">
        <v>114</v>
      </c>
      <c r="C113" s="2">
        <v>52017030</v>
      </c>
      <c r="E113" t="str">
        <f>+_xlfn.XLOOKUP(Tabla1[[#This Row],[Codigo]],Hoja2!$D$2:$D$420,Hoja2!$C$2:$C$420)</f>
        <v>LA FONDA - AUT [52017030; AO-07; HID; GPRS; FONDO ADAPTACION]</v>
      </c>
    </row>
    <row r="114" spans="1:5" x14ac:dyDescent="0.25">
      <c r="A114" s="1">
        <v>113</v>
      </c>
      <c r="B114" s="21" t="s">
        <v>115</v>
      </c>
      <c r="C114" s="2">
        <v>52057050</v>
      </c>
      <c r="E114" t="str">
        <f>+_xlfn.XLOOKUP(Tabla1[[#This Row],[Codigo]],Hoja2!$D$2:$D$420,Hoja2!$C$2:$C$420)</f>
        <v>SAN PEDRO  - AUT [52057050; NAR; HID; GOES: CB1EB580; AO07; FONDO ADAPTACION]</v>
      </c>
    </row>
    <row r="115" spans="1:5" x14ac:dyDescent="0.25">
      <c r="A115" s="3">
        <v>114</v>
      </c>
      <c r="B115" s="21" t="s">
        <v>116</v>
      </c>
      <c r="C115" s="2">
        <v>5204700100</v>
      </c>
      <c r="E115" t="str">
        <f>+_xlfn.XLOOKUP(Tabla1[[#This Row],[Codigo]],Hoja2!$D$2:$D$420,Hoja2!$C$2:$C$420)</f>
        <v>PUENTE LOS DOLORES - AUT  [5204700100;AO 07;FONDO ADAPTACION]</v>
      </c>
    </row>
    <row r="116" spans="1:5" x14ac:dyDescent="0.25">
      <c r="A116" s="1">
        <v>115</v>
      </c>
      <c r="B116" s="21" t="s">
        <v>117</v>
      </c>
      <c r="C116" s="2">
        <v>52025080</v>
      </c>
      <c r="E116" t="str">
        <f>+_xlfn.XLOOKUP(Tabla1[[#This Row],[Codigo]],Hoja2!$D$2:$D$420,Hoja2!$C$2:$C$420)</f>
        <v>ESTRECHO PATIA  - AUT [52025080; AO 07; MET; GPRS; FONDO ADAPTACIÓN ]</v>
      </c>
    </row>
    <row r="117" spans="1:5" x14ac:dyDescent="0.25">
      <c r="A117" s="1">
        <v>116</v>
      </c>
      <c r="B117" s="21" t="s">
        <v>118</v>
      </c>
      <c r="C117" s="2">
        <v>52055170</v>
      </c>
      <c r="E117" s="27" t="str">
        <f>+_xlfn.XLOOKUP(Tabla1[[#This Row],[Codigo]],Hoja2!$D$2:$D$420,Hoja2!$C$2:$C$420)</f>
        <v>C_LA JOSEFINA - AUT [52055170; AO 07;FONDO ADAPTACIÓN]</v>
      </c>
    </row>
    <row r="118" spans="1:5" x14ac:dyDescent="0.25">
      <c r="A118" s="1">
        <v>117</v>
      </c>
      <c r="B118" s="21" t="s">
        <v>119</v>
      </c>
      <c r="C118" s="2">
        <v>51025080</v>
      </c>
      <c r="E118" t="str">
        <f>+_xlfn.XLOOKUP(Tabla1[[#This Row],[Codigo]],Hoja2!$D$2:$D$420,Hoja2!$C$2:$C$420)</f>
        <v>ALTAQUER - AUT [51025080; AO07; FONDO ADAPTACION]</v>
      </c>
    </row>
    <row r="119" spans="1:5" x14ac:dyDescent="0.25">
      <c r="A119" s="1">
        <v>118</v>
      </c>
      <c r="B119" s="21" t="s">
        <v>120</v>
      </c>
      <c r="C119" s="2">
        <v>5205500123</v>
      </c>
      <c r="E119" t="str">
        <f>+_xlfn.XLOOKUP(Tabla1[[#This Row],[Codigo]],Hoja2!$D$2:$D$420,Hoja2!$C$2:$C$420)</f>
        <v>LAS IGLESIAS  - AUT [5205500123; GOES; AO07; ]</v>
      </c>
    </row>
    <row r="120" spans="1:5" x14ac:dyDescent="0.25">
      <c r="A120" s="1">
        <v>119</v>
      </c>
      <c r="B120" s="21" t="s">
        <v>121</v>
      </c>
      <c r="C120" s="2">
        <v>51027050</v>
      </c>
      <c r="E120" t="str">
        <f>+_xlfn.XLOOKUP(Tabla1[[#This Row],[Codigo]],Hoja2!$D$2:$D$420,Hoja2!$C$2:$C$420)</f>
        <v>PIPIGUAY [51027050; AO 07 ; IDEAM]</v>
      </c>
    </row>
    <row r="121" spans="1:5" x14ac:dyDescent="0.25">
      <c r="A121" s="1">
        <v>120</v>
      </c>
      <c r="B121" s="21" t="s">
        <v>122</v>
      </c>
      <c r="C121" s="2">
        <v>44017120</v>
      </c>
      <c r="E121" s="27" t="str">
        <f>+_xlfn.XLOOKUP(Tabla1[[#This Row],[Codigo]],Hoja2!$D$2:$D$420,Hoja2!$C$2:$C$420)</f>
        <v>C_PIEDRA LISA II  - AUT [44017120; AO 07; FONDO ADAPTACION]</v>
      </c>
    </row>
    <row r="122" spans="1:5" x14ac:dyDescent="0.25">
      <c r="A122" s="3">
        <v>121</v>
      </c>
      <c r="B122" s="21" t="s">
        <v>123</v>
      </c>
      <c r="C122" s="2">
        <v>44017110</v>
      </c>
      <c r="E122" t="str">
        <f>+_xlfn.XLOOKUP(Tabla1[[#This Row],[Codigo]],Hoja2!$D$2:$D$420,Hoja2!$C$2:$C$420)</f>
        <v>ANDAQUI  - AUT [44017110; PUT; HID; GOES: CB1BA136; AO07; FONDO ADAPTACION]</v>
      </c>
    </row>
    <row r="123" spans="1:5" x14ac:dyDescent="0.25">
      <c r="A123" s="1">
        <v>122</v>
      </c>
      <c r="B123" s="21" t="s">
        <v>124</v>
      </c>
      <c r="C123" s="2">
        <v>47015100</v>
      </c>
      <c r="E123" t="str">
        <f>+_xlfn.XLOOKUP(Tabla1[[#This Row],[Codigo]],Hoja2!$D$2:$D$420,Hoja2!$C$2:$C$420)</f>
        <v>EL ENCANO - AUT [47015100; AO 07;FONDO ADAPTACION]</v>
      </c>
    </row>
    <row r="124" spans="1:5" x14ac:dyDescent="0.25">
      <c r="A124" s="1">
        <v>123</v>
      </c>
      <c r="B124" s="21" t="s">
        <v>125</v>
      </c>
      <c r="C124" s="2">
        <v>52040050</v>
      </c>
      <c r="E124" t="str">
        <f>+_xlfn.XLOOKUP(Tabla1[[#This Row],[Codigo]],Hoja2!$D$2:$D$420,Hoja2!$C$2:$C$420)</f>
        <v>APONTE [52040050;AO 07;FONDO ADAPTACION]</v>
      </c>
    </row>
    <row r="125" spans="1:5" x14ac:dyDescent="0.25">
      <c r="A125" s="1">
        <v>124</v>
      </c>
      <c r="B125" s="21" t="s">
        <v>126</v>
      </c>
      <c r="C125" s="2">
        <v>52077010</v>
      </c>
      <c r="E125" t="str">
        <f>+_xlfn.XLOOKUP(Tabla1[[#This Row],[Codigo]],Hoja2!$D$2:$D$420,Hoja2!$C$2:$C$420)</f>
        <v>PUENTE PUSMEO - AUT [52077010; AO-07; FONDO ADAPTACION]</v>
      </c>
    </row>
    <row r="126" spans="1:5" x14ac:dyDescent="0.25">
      <c r="A126" s="1">
        <v>125</v>
      </c>
      <c r="B126" s="21" t="s">
        <v>127</v>
      </c>
      <c r="C126" s="2">
        <v>51035020</v>
      </c>
      <c r="E126" s="27" t="str">
        <f>+_xlfn.XLOOKUP(Tabla1[[#This Row],[Codigo]],Hoja2!$D$2:$D$420,Hoja2!$C$2:$C$420)</f>
        <v>C_CCCP DL PACIFICO [51035020; AO 07; MET; FONDO ADAPTACION]</v>
      </c>
    </row>
    <row r="127" spans="1:5" x14ac:dyDescent="0.25">
      <c r="A127" s="1">
        <v>126</v>
      </c>
      <c r="B127" s="21" t="s">
        <v>128</v>
      </c>
      <c r="C127" s="2">
        <v>44015070</v>
      </c>
      <c r="E127" s="27" t="str">
        <f>+_xlfn.XLOOKUP(Tabla1[[#This Row],[Codigo]],Hoja2!$D$2:$D$420,Hoja2!$C$2:$C$420)</f>
        <v>C_EL PEPINO - AUT [44015070;AO 07;FONDO ADAPTACION]</v>
      </c>
    </row>
    <row r="128" spans="1:5" x14ac:dyDescent="0.25">
      <c r="A128" s="1">
        <v>127</v>
      </c>
      <c r="B128" s="21" t="s">
        <v>129</v>
      </c>
      <c r="C128" s="2">
        <v>47017070</v>
      </c>
      <c r="E128" t="str">
        <f>+_xlfn.XLOOKUP(Tabla1[[#This Row],[Codigo]],Hoja2!$D$2:$D$420,Hoja2!$C$2:$C$420)</f>
        <v>EL EDEN - AUT [47017070;AO 07;FONDO ADAPTACION]</v>
      </c>
    </row>
    <row r="129" spans="1:5" x14ac:dyDescent="0.25">
      <c r="A129" s="3">
        <v>128</v>
      </c>
      <c r="B129" s="21" t="s">
        <v>130</v>
      </c>
      <c r="C129" s="2">
        <v>24025090</v>
      </c>
      <c r="E129" t="str">
        <f>+_xlfn.XLOOKUP(Tabla1[[#This Row],[Codigo]],Hoja2!$D$2:$D$420,Hoja2!$C$2:$C$420)</f>
        <v>MOGOTES - AUT [24025090; AO 08; MET; GPRS; FONDO ADAPTACION]</v>
      </c>
    </row>
    <row r="130" spans="1:5" x14ac:dyDescent="0.25">
      <c r="A130" s="1">
        <v>129</v>
      </c>
      <c r="B130" s="21" t="s">
        <v>131</v>
      </c>
      <c r="C130" s="2">
        <v>23127020</v>
      </c>
      <c r="E130" t="str">
        <f>+_xlfn.XLOOKUP(Tabla1[[#This Row],[Codigo]],Hoja2!$D$2:$D$420,Hoja2!$C$2:$C$420)</f>
        <v>PUERTO ARAUJO - AUT [23127020; SAN; HID; LG; AO08; OTT; GOES: CB0F9608; HX; IDEAM]</v>
      </c>
    </row>
    <row r="131" spans="1:5" x14ac:dyDescent="0.25">
      <c r="A131" s="1">
        <v>130</v>
      </c>
      <c r="B131" s="21" t="s">
        <v>132</v>
      </c>
      <c r="C131" s="2">
        <v>24055070</v>
      </c>
      <c r="E131" t="str">
        <f>+_xlfn.XLOOKUP(Tabla1[[#This Row],[Codigo]],Hoja2!$D$2:$D$420,Hoja2!$C$2:$C$420)</f>
        <v>SAN  VICENTE DE CHUCURI  - AUT [24055070; AO 08; MET; GPRS; FONDO ADAPTACION]</v>
      </c>
    </row>
    <row r="132" spans="1:5" x14ac:dyDescent="0.25">
      <c r="A132" s="1">
        <v>131</v>
      </c>
      <c r="B132" s="21" t="s">
        <v>133</v>
      </c>
      <c r="C132" s="2">
        <v>24055080</v>
      </c>
      <c r="E132" t="str">
        <f>+_xlfn.XLOOKUP(Tabla1[[#This Row],[Codigo]],Hoja2!$D$2:$D$420,Hoja2!$C$2:$C$420)</f>
        <v>VIZCAINA LA LIZAMA  - AUT [24055080; AO 08; MET; GPRS; FONDO ADAPTACION]</v>
      </c>
    </row>
    <row r="133" spans="1:5" x14ac:dyDescent="0.25">
      <c r="A133" s="1">
        <v>132</v>
      </c>
      <c r="B133" s="21" t="s">
        <v>134</v>
      </c>
      <c r="C133" s="2">
        <v>37015030</v>
      </c>
      <c r="E133" t="str">
        <f>+_xlfn.XLOOKUP(Tabla1[[#This Row],[Codigo]],Hoja2!$D$2:$D$420,Hoja2!$C$2:$C$420)</f>
        <v>BERLIN - AUT [37015030; AO 08; MET; GPRS; FONDO ADAPTACION]</v>
      </c>
    </row>
    <row r="134" spans="1:5" x14ac:dyDescent="0.25">
      <c r="A134" s="1">
        <v>133</v>
      </c>
      <c r="B134" s="21" t="s">
        <v>135</v>
      </c>
      <c r="C134" s="2">
        <v>16015120</v>
      </c>
      <c r="E134" t="str">
        <f>+_xlfn.XLOOKUP(Tabla1[[#This Row],[Codigo]],Hoja2!$D$2:$D$420,Hoja2!$C$2:$C$420)</f>
        <v>UNIVERSIDAD DE PAMPLONA  - AUT [16015120; AO 08; MET; GPRS; FONDO ADAPTACION]</v>
      </c>
    </row>
    <row r="135" spans="1:5" x14ac:dyDescent="0.25">
      <c r="A135" s="1">
        <v>134</v>
      </c>
      <c r="B135" s="21" t="s">
        <v>136</v>
      </c>
      <c r="C135" s="2">
        <v>23217080</v>
      </c>
      <c r="E135" t="str">
        <f>+_xlfn.XLOOKUP(Tabla1[[#This Row],[Codigo]],Hoja2!$D$2:$D$420,Hoja2!$C$2:$C$420)</f>
        <v>GAMARRA - AUT [23217080; AO 08; HID; GPRS; FONDO ADAPTACION]</v>
      </c>
    </row>
    <row r="136" spans="1:5" x14ac:dyDescent="0.25">
      <c r="A136" s="3">
        <v>135</v>
      </c>
      <c r="B136" s="21" t="s">
        <v>137</v>
      </c>
      <c r="C136" s="2">
        <v>23195090</v>
      </c>
      <c r="E136" t="str">
        <f>+_xlfn.XLOOKUP(Tabla1[[#This Row],[Codigo]],Hoja2!$D$2:$D$420,Hoja2!$C$2:$C$420)</f>
        <v>VIVERO SURATA  - AUT [23195090; AO 08; MET; GPRS; FONDO ADAPTACION]</v>
      </c>
    </row>
    <row r="137" spans="1:5" x14ac:dyDescent="0.25">
      <c r="A137" s="1">
        <v>136</v>
      </c>
      <c r="B137" s="21" t="s">
        <v>138</v>
      </c>
      <c r="C137" s="2">
        <v>23195110</v>
      </c>
      <c r="E137" t="str">
        <f>+_xlfn.XLOOKUP(Tabla1[[#This Row],[Codigo]],Hoja2!$D$2:$D$420,Hoja2!$C$2:$C$420)</f>
        <v>LLANO GRANDE  - AUT [23195110; AO 08; MET; GPRS; FONDO ADAPTACION]</v>
      </c>
    </row>
    <row r="138" spans="1:5" x14ac:dyDescent="0.25">
      <c r="A138" s="1">
        <v>137</v>
      </c>
      <c r="B138" s="21" t="s">
        <v>139</v>
      </c>
      <c r="C138" s="2">
        <v>16025040</v>
      </c>
      <c r="E138" t="str">
        <f>+_xlfn.XLOOKUP(Tabla1[[#This Row],[Codigo]],Hoja2!$D$2:$D$420,Hoja2!$C$2:$C$420)</f>
        <v>CINERA-VILLA OLGA [16025040; AO 08; MET; GPRS; FONDO ADAPTACION ]</v>
      </c>
    </row>
    <row r="139" spans="1:5" x14ac:dyDescent="0.25">
      <c r="A139" s="1">
        <v>138</v>
      </c>
      <c r="B139" s="21" t="s">
        <v>140</v>
      </c>
      <c r="C139" s="2">
        <v>23195200</v>
      </c>
      <c r="E139" t="str">
        <f>+_xlfn.XLOOKUP(Tabla1[[#This Row],[Codigo]],Hoja2!$D$2:$D$420,Hoja2!$C$2:$C$420)</f>
        <v>CACHIRI  - AUT [23195200; AO 08; MET; GPRS; FONDO ADAPTACION]</v>
      </c>
    </row>
    <row r="140" spans="1:5" x14ac:dyDescent="0.25">
      <c r="A140" s="1">
        <v>139</v>
      </c>
      <c r="B140" s="21" t="s">
        <v>141</v>
      </c>
      <c r="C140" s="2">
        <v>23180070</v>
      </c>
      <c r="E140" t="str">
        <f>+_xlfn.XLOOKUP(Tabla1[[#This Row],[Codigo]],Hoja2!$D$2:$D$420,Hoja2!$C$2:$C$420)</f>
        <v>SABANA DE TORRES [23180070; AO 08; MET; GPRS; FONDO ADAPTACION]</v>
      </c>
    </row>
    <row r="141" spans="1:5" x14ac:dyDescent="0.25">
      <c r="A141" s="1">
        <v>140</v>
      </c>
      <c r="B141" s="21" t="s">
        <v>142</v>
      </c>
      <c r="C141" s="2">
        <v>24017590</v>
      </c>
      <c r="E141" t="str">
        <f>+_xlfn.XLOOKUP(Tabla1[[#This Row],[Codigo]],Hoja2!$D$2:$D$420,Hoja2!$C$2:$C$420)</f>
        <v>PUENTE NACIONAL - AUT [24017590; AO 08; HID; GPRS; FONDO ADAPTACION]</v>
      </c>
    </row>
    <row r="142" spans="1:5" x14ac:dyDescent="0.25">
      <c r="A142" s="1">
        <v>141</v>
      </c>
      <c r="B142" s="21" t="s">
        <v>143</v>
      </c>
      <c r="C142" s="2">
        <v>2319500043</v>
      </c>
      <c r="E142" t="str">
        <f>+_xlfn.XLOOKUP(Tabla1[[#This Row],[Codigo]],Hoja2!$D$2:$D$420,Hoja2!$C$2:$C$420)</f>
        <v>FLORIDABLANCA - AUT   [2319500043; AO 08; MET; GPRS; FONDO ADAPTACION]</v>
      </c>
    </row>
    <row r="143" spans="1:5" x14ac:dyDescent="0.25">
      <c r="A143" s="3">
        <v>142</v>
      </c>
      <c r="B143" s="21" t="s">
        <v>144</v>
      </c>
      <c r="C143" s="2">
        <v>2401500052</v>
      </c>
      <c r="E143" t="str">
        <f>+_xlfn.XLOOKUP(Tabla1[[#This Row],[Codigo]],Hoja2!$D$2:$D$420,Hoja2!$C$2:$C$420)</f>
        <v>PUENTE GUILLERMO - AUT  [2401500052; AO 08; MET; GPRS; FONDO ADAPTACION]</v>
      </c>
    </row>
    <row r="144" spans="1:5" x14ac:dyDescent="0.25">
      <c r="A144" s="1">
        <v>143</v>
      </c>
      <c r="B144" s="21" t="s">
        <v>145</v>
      </c>
      <c r="C144" s="2">
        <v>3701500114</v>
      </c>
      <c r="E144" t="str">
        <f>+_xlfn.XLOOKUP(Tabla1[[#This Row],[Codigo]],Hoja2!$D$2:$D$420,Hoja2!$C$2:$C$420)</f>
        <v>CHINACOTA - AUT   [3701500114; AO 08; MET; GPRS; FONDO ADAPTACION]</v>
      </c>
    </row>
    <row r="145" spans="1:5" x14ac:dyDescent="0.25">
      <c r="A145" s="1">
        <v>144</v>
      </c>
      <c r="B145" s="21" t="s">
        <v>146</v>
      </c>
      <c r="C145" s="2">
        <v>2319500125</v>
      </c>
      <c r="E145" t="str">
        <f>+_xlfn.XLOOKUP(Tabla1[[#This Row],[Codigo]],Hoja2!$D$2:$D$420,Hoja2!$C$2:$C$420)</f>
        <v>POLIDEPORTIVO CACHIRA - AUT   [2319500125; AO 08; MET; GPRS; FONTO ADAPTACION]</v>
      </c>
    </row>
    <row r="146" spans="1:5" x14ac:dyDescent="0.25">
      <c r="A146" s="1">
        <v>145</v>
      </c>
      <c r="B146" s="21" t="s">
        <v>147</v>
      </c>
      <c r="C146" s="2">
        <v>1602500110</v>
      </c>
      <c r="E146" t="str">
        <f>+_xlfn.XLOOKUP(Tabla1[[#This Row],[Codigo]],Hoja2!$D$2:$D$420,Hoja2!$C$2:$C$420)</f>
        <v>ARBOLEDAS - AUT   [1602500110; AO 08; MET; GPRS; FONDO ADAPTACION ]</v>
      </c>
    </row>
    <row r="147" spans="1:5" x14ac:dyDescent="0.25">
      <c r="A147" s="1">
        <v>146</v>
      </c>
      <c r="B147" s="21" t="s">
        <v>148</v>
      </c>
      <c r="C147" s="2">
        <v>23195240</v>
      </c>
      <c r="E147" t="str">
        <f>+_xlfn.XLOOKUP(Tabla1[[#This Row],[Codigo]],Hoja2!$D$2:$D$420,Hoja2!$C$2:$C$420)</f>
        <v>AGUACHICA - AUT [23195240; AO 08; MET; GPRS; FONDO ADAPTACION]</v>
      </c>
    </row>
    <row r="148" spans="1:5" x14ac:dyDescent="0.25">
      <c r="A148" s="1">
        <v>147</v>
      </c>
      <c r="B148" s="21" t="s">
        <v>149</v>
      </c>
      <c r="C148" s="2">
        <v>24017640</v>
      </c>
      <c r="E148" t="str">
        <f>+_xlfn.XLOOKUP(Tabla1[[#This Row],[Codigo]],Hoja2!$D$2:$D$420,Hoja2!$C$2:$C$420)</f>
        <v>LA CEIBA - AUT [24017640; AO 08; HID; GPRS; FONDO ADAPTACION]</v>
      </c>
    </row>
    <row r="149" spans="1:5" x14ac:dyDescent="0.25">
      <c r="A149" s="1">
        <v>148</v>
      </c>
      <c r="B149" s="21" t="s">
        <v>150</v>
      </c>
      <c r="C149" s="2">
        <v>16015110</v>
      </c>
      <c r="E149" t="str">
        <f>+_xlfn.XLOOKUP(Tabla1[[#This Row],[Codigo]],Hoja2!$D$2:$D$420,Hoja2!$C$2:$C$420)</f>
        <v>UNIVERSIDAD FRANCISO DE PAULA SANTANDER - AUT [16015110; AO 08; MET; GPRS; FONDO ADAPTACION]</v>
      </c>
    </row>
    <row r="150" spans="1:5" x14ac:dyDescent="0.25">
      <c r="A150" s="3">
        <v>149</v>
      </c>
      <c r="B150" s="21" t="s">
        <v>151</v>
      </c>
      <c r="C150" s="2">
        <v>3706500109</v>
      </c>
      <c r="E150" t="str">
        <f>+_xlfn.XLOOKUP(Tabla1[[#This Row],[Codigo]],Hoja2!$D$2:$D$420,Hoja2!$C$2:$C$420)</f>
        <v>ARAUCA TERMINAL - AUT [3706500109; AO 08; MET; GPRS; FONDO ADAPTACION]</v>
      </c>
    </row>
    <row r="151" spans="1:5" x14ac:dyDescent="0.25">
      <c r="A151" s="1">
        <v>150</v>
      </c>
      <c r="B151" s="21" t="s">
        <v>152</v>
      </c>
      <c r="C151" s="2">
        <v>1602500044</v>
      </c>
      <c r="E151" s="27" t="str">
        <f>+_xlfn.XLOOKUP(Tabla1[[#This Row],[Codigo]],Hoja2!$D$2:$D$420,Hoja2!$C$2:$C$420)</f>
        <v>C_GRAMALOTE - AUT   [1602500044; AO 08; MET; GPRS; FONDO ADAPTACION]</v>
      </c>
    </row>
    <row r="152" spans="1:5" x14ac:dyDescent="0.25">
      <c r="A152" s="1">
        <v>151</v>
      </c>
      <c r="B152" s="21" t="s">
        <v>153</v>
      </c>
      <c r="C152" s="2">
        <v>3702500113</v>
      </c>
      <c r="E152" t="str">
        <f>+_xlfn.XLOOKUP(Tabla1[[#This Row],[Codigo]],Hoja2!$D$2:$D$420,Hoja2!$C$2:$C$420)</f>
        <v>CAMPO HERMOSO - AUT   [3702500113; NDS; MET; CP; N; AO08; H8; DOSPINA; 55-5; IPWD; R24; FNCM]</v>
      </c>
    </row>
    <row r="153" spans="1:5" x14ac:dyDescent="0.25">
      <c r="A153" s="1">
        <v>152</v>
      </c>
      <c r="B153" s="21" t="s">
        <v>154</v>
      </c>
      <c r="C153" s="2">
        <v>23197700</v>
      </c>
      <c r="E153" t="str">
        <f>+_xlfn.XLOOKUP(Tabla1[[#This Row],[Codigo]],Hoja2!$D$2:$D$420,Hoja2!$C$2:$C$420)</f>
        <v>MAJADAS - AUT [23197700; AO 08; HID; GPRS;  FONDO ADAPTACION]</v>
      </c>
    </row>
    <row r="154" spans="1:5" x14ac:dyDescent="0.25">
      <c r="A154" s="1">
        <v>153</v>
      </c>
      <c r="B154" s="21" t="s">
        <v>155</v>
      </c>
      <c r="C154" s="2">
        <v>23190130</v>
      </c>
      <c r="E154" t="str">
        <f>+_xlfn.XLOOKUP(Tabla1[[#This Row],[Codigo]],Hoja2!$D$2:$D$420,Hoja2!$C$2:$C$420)</f>
        <v>TONA  - AUT [23190130; AO 08; MET; GPRS; FONDO ADAPTACION]</v>
      </c>
    </row>
    <row r="155" spans="1:5" x14ac:dyDescent="0.25">
      <c r="A155" s="1">
        <v>154</v>
      </c>
      <c r="B155" s="21" t="s">
        <v>156</v>
      </c>
      <c r="C155" s="2">
        <v>23190700</v>
      </c>
      <c r="E155" t="s">
        <v>520</v>
      </c>
    </row>
    <row r="156" spans="1:5" x14ac:dyDescent="0.25">
      <c r="A156" s="1">
        <v>155</v>
      </c>
      <c r="B156" s="21" t="s">
        <v>157</v>
      </c>
      <c r="C156" s="2">
        <v>23127060</v>
      </c>
      <c r="E156" t="str">
        <f>+_xlfn.XLOOKUP(Tabla1[[#This Row],[Codigo]],Hoja2!$D$2:$D$420,Hoja2!$C$2:$C$420)</f>
        <v>SANTA ROSA  - AUT [23127060; SAN; HID; GOES; AO08; FONDO ADAPTACION]</v>
      </c>
    </row>
    <row r="157" spans="1:5" x14ac:dyDescent="0.25">
      <c r="A157" s="3">
        <v>156</v>
      </c>
      <c r="B157" s="21" t="s">
        <v>158</v>
      </c>
      <c r="C157" s="2">
        <v>2319700096</v>
      </c>
      <c r="E157" t="str">
        <f>+_xlfn.XLOOKUP(Tabla1[[#This Row],[Codigo]],Hoja2!$D$2:$D$420,Hoja2!$C$2:$C$420)</f>
        <v>SAN JUAN DE LOS CHORROS - AUT   [2319700096;SAN;HID;LG;N;AO08; ]</v>
      </c>
    </row>
    <row r="158" spans="1:5" x14ac:dyDescent="0.25">
      <c r="A158" s="1">
        <v>157</v>
      </c>
      <c r="B158" s="21" t="s">
        <v>159</v>
      </c>
      <c r="C158" s="2">
        <v>16055120</v>
      </c>
      <c r="E158" t="str">
        <f>+_xlfn.XLOOKUP(Tabla1[[#This Row],[Codigo]],Hoja2!$D$2:$D$420,Hoja2!$C$2:$C$420)</f>
        <v>AGUAS DE LA VIRGEN  - AUT [16055120; AO 08; MET; GPRS; FONDO ADAPTACION]</v>
      </c>
    </row>
    <row r="159" spans="1:5" x14ac:dyDescent="0.25">
      <c r="A159" s="1">
        <v>158</v>
      </c>
      <c r="B159" s="21" t="s">
        <v>160</v>
      </c>
      <c r="C159" s="2">
        <v>26015010</v>
      </c>
      <c r="E159" t="str">
        <f>+_xlfn.XLOOKUP(Tabla1[[#This Row],[Codigo]],Hoja2!$D$2:$D$420,Hoja2!$C$2:$C$420)</f>
        <v>EL TABLAZO - AUT [26015010; AO 09; FONDO ADAPTACION]</v>
      </c>
    </row>
    <row r="160" spans="1:5" x14ac:dyDescent="0.25">
      <c r="A160" s="1">
        <v>159</v>
      </c>
      <c r="B160" s="21" t="s">
        <v>161</v>
      </c>
      <c r="C160" s="2">
        <v>26075120</v>
      </c>
      <c r="E160" t="str">
        <f>+_xlfn.XLOOKUP(Tabla1[[#This Row],[Codigo]],Hoja2!$D$2:$D$420,Hoja2!$C$2:$C$420)</f>
        <v>LA DIANA - AUT [26075120; AO 09; MET; GPRS; FONDO ADAPTACION]</v>
      </c>
    </row>
    <row r="161" spans="1:5" x14ac:dyDescent="0.25">
      <c r="A161" s="1">
        <v>160</v>
      </c>
      <c r="B161" s="21" t="s">
        <v>162</v>
      </c>
      <c r="C161" s="2">
        <v>26055120</v>
      </c>
      <c r="E161" t="str">
        <f>+_xlfn.XLOOKUP(Tabla1[[#This Row],[Codigo]],Hoja2!$D$2:$D$420,Hoja2!$C$2:$C$420)</f>
        <v>UNIVERSIDAD DEL VALLE  - AUT [26055120; AO 09; MET; GPRS; FONDO ADAPTACION]</v>
      </c>
    </row>
    <row r="162" spans="1:5" x14ac:dyDescent="0.25">
      <c r="A162" s="1">
        <v>161</v>
      </c>
      <c r="B162" s="21" t="s">
        <v>163</v>
      </c>
      <c r="C162" s="2">
        <v>26085160</v>
      </c>
      <c r="E162" t="str">
        <f>+_xlfn.XLOOKUP(Tabla1[[#This Row],[Codigo]],Hoja2!$D$2:$D$420,Hoja2!$C$2:$C$420)</f>
        <v>SILOE - AUT [26085160; AO 09; MET; GPRS; FONDO ADAPTACION]</v>
      </c>
    </row>
    <row r="163" spans="1:5" x14ac:dyDescent="0.25">
      <c r="A163" s="1">
        <v>162</v>
      </c>
      <c r="B163" s="21" t="s">
        <v>164</v>
      </c>
      <c r="C163" s="2">
        <v>53119010</v>
      </c>
      <c r="E163" t="str">
        <f>+_xlfn.XLOOKUP(Tabla1[[#This Row],[Codigo]],Hoja2!$D$2:$D$420,Hoja2!$C$2:$C$420)</f>
        <v>BUENAVENTURA IDEAM  - AUT [53119010; VDC; HID;INMARSAT; AO09; FONDO ADAPTACION]</v>
      </c>
    </row>
    <row r="164" spans="1:5" x14ac:dyDescent="0.25">
      <c r="A164" s="3">
        <v>163</v>
      </c>
      <c r="B164" s="21" t="s">
        <v>165</v>
      </c>
      <c r="C164" s="2">
        <v>26105250</v>
      </c>
      <c r="E164" t="str">
        <f>+_xlfn.XLOOKUP(Tabla1[[#This Row],[Codigo]],Hoja2!$D$2:$D$420,Hoja2!$C$2:$C$420)</f>
        <v>ZARAGOZA - AUT [26105250; AO 09; MET; GPRS; FONDO ADAPTACION]</v>
      </c>
    </row>
    <row r="165" spans="1:5" x14ac:dyDescent="0.25">
      <c r="A165" s="1">
        <v>164</v>
      </c>
      <c r="B165" s="21" t="s">
        <v>166</v>
      </c>
      <c r="C165" s="2">
        <v>26125300</v>
      </c>
      <c r="E165" t="str">
        <f>+_xlfn.XLOOKUP(Tabla1[[#This Row],[Codigo]],Hoja2!$D$2:$D$420,Hoja2!$C$2:$C$420)</f>
        <v>CALARCA - AUT [26125300; AO 09; MET; GPRS; FONDO ADAPTACION]</v>
      </c>
    </row>
    <row r="166" spans="1:5" x14ac:dyDescent="0.25">
      <c r="A166" s="1">
        <v>165</v>
      </c>
      <c r="B166" s="21" t="s">
        <v>167</v>
      </c>
      <c r="C166" s="2">
        <v>55015010</v>
      </c>
      <c r="E166" s="27" t="str">
        <f>+_xlfn.XLOOKUP(Tabla1[[#This Row],[Codigo]],Hoja2!$D$2:$D$420,Hoja2!$C$2:$C$420)</f>
        <v>C_PIE DE PATO - AUT [55015010; AO 09; MET; GPRS; FONDO ADAPTACION]</v>
      </c>
    </row>
    <row r="167" spans="1:5" x14ac:dyDescent="0.25">
      <c r="A167" s="1">
        <v>166</v>
      </c>
      <c r="B167" s="21" t="s">
        <v>168</v>
      </c>
      <c r="C167" s="2">
        <v>26155110</v>
      </c>
      <c r="E167" t="str">
        <f>+_xlfn.XLOOKUP(Tabla1[[#This Row],[Codigo]],Hoja2!$D$2:$D$420,Hoja2!$C$2:$C$420)</f>
        <v>AEROPUERTO LA NUBIA [26155110; AO 09; MET; GPRS, FONDO ADAPTACION]</v>
      </c>
    </row>
    <row r="168" spans="1:5" x14ac:dyDescent="0.25">
      <c r="A168" s="1">
        <v>167</v>
      </c>
      <c r="B168" s="21" t="s">
        <v>169</v>
      </c>
      <c r="C168" s="2">
        <v>26015040</v>
      </c>
      <c r="E168" t="str">
        <f>+_xlfn.XLOOKUP(Tabla1[[#This Row],[Codigo]],Hoja2!$D$2:$D$420,Hoja2!$C$2:$C$420)</f>
        <v>ARRAYANALES - AUT [26015040; AO09; IPWD; ; FNCM ]</v>
      </c>
    </row>
    <row r="169" spans="1:5" x14ac:dyDescent="0.25">
      <c r="A169" s="1">
        <v>168</v>
      </c>
      <c r="B169" s="21" t="s">
        <v>170</v>
      </c>
      <c r="C169" s="2">
        <v>26027200</v>
      </c>
      <c r="E169" t="str">
        <f>+_xlfn.XLOOKUP(Tabla1[[#This Row],[Codigo]],Hoja2!$D$2:$D$420,Hoja2!$C$2:$C$420)</f>
        <v>PUENTE CARRETERA  - AUT [26027200; CAU; HID; INMARSAT; AO09; FONDO ADAPTACION]</v>
      </c>
    </row>
    <row r="170" spans="1:5" x14ac:dyDescent="0.25">
      <c r="A170" s="1">
        <v>169</v>
      </c>
      <c r="B170" s="21" t="s">
        <v>171</v>
      </c>
      <c r="C170" s="2">
        <v>26167070</v>
      </c>
      <c r="E170" t="str">
        <f>+_xlfn.XLOOKUP(Tabla1[[#This Row],[Codigo]],Hoja2!$D$2:$D$420,Hoja2!$C$2:$C$420)</f>
        <v>IRRA  - AUT [26167070; AO 09; HID; GPRS; FONDO ADAPTACION]</v>
      </c>
    </row>
    <row r="171" spans="1:5" x14ac:dyDescent="0.25">
      <c r="A171" s="3">
        <v>170</v>
      </c>
      <c r="B171" s="21" t="s">
        <v>172</v>
      </c>
      <c r="C171" s="2">
        <v>26147140</v>
      </c>
      <c r="E171" t="str">
        <f>+_xlfn.XLOOKUP(Tabla1[[#This Row],[Codigo]],Hoja2!$D$2:$D$420,Hoja2!$C$2:$C$420)</f>
        <v>PUENTE NEGRO  - AUT [26147140; AO 09; HID; GPRS; FONDO ADAPTACION]</v>
      </c>
    </row>
    <row r="172" spans="1:5" x14ac:dyDescent="0.25">
      <c r="A172" s="1">
        <v>171</v>
      </c>
      <c r="B172" s="21" t="s">
        <v>173</v>
      </c>
      <c r="C172" s="2">
        <v>26055100</v>
      </c>
      <c r="E172" t="str">
        <f>+_xlfn.XLOOKUP(Tabla1[[#This Row],[Codigo]],Hoja2!$D$2:$D$420,Hoja2!$C$2:$C$420)</f>
        <v>FARALLONES - AUT [26055100; VDC; MET; GOES: CB10BF3A ; AO09; FONDO ADAPTACION]</v>
      </c>
    </row>
    <row r="173" spans="1:5" x14ac:dyDescent="0.25">
      <c r="A173" s="1">
        <v>172</v>
      </c>
      <c r="B173" s="21" t="s">
        <v>174</v>
      </c>
      <c r="C173" s="2">
        <v>5311500121</v>
      </c>
      <c r="E173" t="str">
        <f>+_xlfn.XLOOKUP(Tabla1[[#This Row],[Codigo]],Hoja2!$D$2:$D$420,Hoja2!$C$2:$C$420)</f>
        <v>LA CUMBRE - AUT   [5311500121; AO 09; MET; GPRS; FONDO ADAPTACION]</v>
      </c>
    </row>
    <row r="174" spans="1:5" x14ac:dyDescent="0.25">
      <c r="A174" s="1">
        <v>173</v>
      </c>
      <c r="B174" s="21" t="s">
        <v>175</v>
      </c>
      <c r="C174" s="2">
        <v>2612500130</v>
      </c>
      <c r="E174" t="str">
        <f>+_xlfn.XLOOKUP(Tabla1[[#This Row],[Codigo]],Hoja2!$D$2:$D$420,Hoja2!$C$2:$C$420)</f>
        <v>SALENTO - AUT   [2612500130; AO 09; MET; GPRS; FONDO ADAPTACION]</v>
      </c>
    </row>
    <row r="175" spans="1:5" x14ac:dyDescent="0.25">
      <c r="A175" s="1">
        <v>174</v>
      </c>
      <c r="B175" s="21" t="s">
        <v>176</v>
      </c>
      <c r="C175" s="2">
        <v>2613500126</v>
      </c>
      <c r="E175" t="str">
        <f>+_xlfn.XLOOKUP(Tabla1[[#This Row],[Codigo]],Hoja2!$D$2:$D$420,Hoja2!$C$2:$C$420)</f>
        <v>POTREROS - AUT   [2613500126; AO 09; MET; GPRS; FONDO ADAPTACION]</v>
      </c>
    </row>
    <row r="176" spans="1:5" x14ac:dyDescent="0.25">
      <c r="A176" s="1">
        <v>175</v>
      </c>
      <c r="B176" s="21" t="s">
        <v>177</v>
      </c>
      <c r="C176" s="2">
        <v>2612500124</v>
      </c>
      <c r="E176" t="str">
        <f>+_xlfn.XLOOKUP(Tabla1[[#This Row],[Codigo]],Hoja2!$D$2:$D$420,Hoja2!$C$2:$C$420)</f>
        <v>PIJAO - AUT   [2612500124;AO 09; MET; GPRS; FONDO ADAPTACION]</v>
      </c>
    </row>
    <row r="177" spans="1:5" x14ac:dyDescent="0.25">
      <c r="A177" s="1">
        <v>176</v>
      </c>
      <c r="B177" s="21" t="s">
        <v>178</v>
      </c>
      <c r="C177" s="2">
        <v>2633700150</v>
      </c>
      <c r="E177" t="str">
        <f>+_xlfn.XLOOKUP(Tabla1[[#This Row],[Codigo]],Hoja2!$D$2:$D$420,Hoja2!$C$2:$C$420)</f>
        <v>GUAYABAL - AUT   [2633700150; AO 09; HID; GPRS; FONDO ADAPTACIÓN ]</v>
      </c>
    </row>
    <row r="178" spans="1:5" x14ac:dyDescent="0.25">
      <c r="A178" s="3">
        <v>177</v>
      </c>
      <c r="B178" s="21" t="s">
        <v>179</v>
      </c>
      <c r="C178" s="2">
        <v>2633500119</v>
      </c>
      <c r="E178" t="str">
        <f>+_xlfn.XLOOKUP(Tabla1[[#This Row],[Codigo]],Hoja2!$D$2:$D$420,Hoja2!$C$2:$C$420)</f>
        <v>GUACHAL PALMASECA - AUT   [2633500119; AO 09; HID; GPRS; FONDO ADAPTACION]</v>
      </c>
    </row>
    <row r="179" spans="1:5" x14ac:dyDescent="0.25">
      <c r="A179" s="1">
        <v>178</v>
      </c>
      <c r="B179" s="21" t="s">
        <v>180</v>
      </c>
      <c r="C179" s="2">
        <v>54057020</v>
      </c>
      <c r="E179" t="str">
        <f>+_xlfn.XLOOKUP(Tabla1[[#This Row],[Codigo]],Hoja2!$D$2:$D$420,Hoja2!$C$2:$C$420)</f>
        <v>LITORAL SAN JUAN - AUT  [54057020; VDC; HID; GOES:CB11A064; AO09; PROYECTO CHOCO]</v>
      </c>
    </row>
    <row r="180" spans="1:5" x14ac:dyDescent="0.25">
      <c r="A180" s="1">
        <v>179</v>
      </c>
      <c r="B180" s="21" t="s">
        <v>181</v>
      </c>
      <c r="C180" s="2">
        <v>26155170</v>
      </c>
      <c r="E180" t="str">
        <f>+_xlfn.XLOOKUP(Tabla1[[#This Row],[Codigo]],Hoja2!$D$2:$D$420,Hoja2!$C$2:$C$420)</f>
        <v>TESORITO FINCA  - AUT [26155170; AO 09; MET; GPRS; FONDO ADAPTACION]</v>
      </c>
    </row>
    <row r="181" spans="1:5" x14ac:dyDescent="0.25">
      <c r="A181" s="1">
        <v>180</v>
      </c>
      <c r="B181" s="21" t="s">
        <v>182</v>
      </c>
      <c r="C181" s="2">
        <v>26085170</v>
      </c>
      <c r="E181" t="str">
        <f>+_xlfn.XLOOKUP(Tabla1[[#This Row],[Codigo]],Hoja2!$D$2:$D$420,Hoja2!$C$2:$C$420)</f>
        <v>BASE AEREA MARCO FIDEL SUAREZ  - AUT [26085170; VDC; MET; GOES: CB1E936C; AO09; FONDO ADAPTACION]</v>
      </c>
    </row>
    <row r="182" spans="1:5" x14ac:dyDescent="0.25">
      <c r="A182" s="1">
        <v>181</v>
      </c>
      <c r="B182" s="21" t="s">
        <v>183</v>
      </c>
      <c r="C182" s="2">
        <v>26115090</v>
      </c>
      <c r="E182" t="str">
        <f>+_xlfn.XLOOKUP(Tabla1[[#This Row],[Codigo]],Hoja2!$D$2:$D$420,Hoja2!$C$2:$C$420)</f>
        <v>LAS BRISAS - AUT [26115090; AO 09; MET; GPRS; FONDO ADAPTACION]</v>
      </c>
    </row>
    <row r="183" spans="1:5" x14ac:dyDescent="0.25">
      <c r="A183" s="1">
        <v>182</v>
      </c>
      <c r="B183" s="21" t="s">
        <v>184</v>
      </c>
      <c r="C183" s="2">
        <v>2612500038</v>
      </c>
      <c r="E183" t="str">
        <f>+_xlfn.XLOOKUP(Tabla1[[#This Row],[Codigo]],Hoja2!$D$2:$D$420,Hoja2!$C$2:$C$420)</f>
        <v>CRQ ARMENIA - AUT [2612500038; AO 09; MET; GPRS; FONDO ADAPTACION]</v>
      </c>
    </row>
    <row r="184" spans="1:5" x14ac:dyDescent="0.25">
      <c r="A184" s="1">
        <v>183</v>
      </c>
      <c r="B184" s="21" t="s">
        <v>185</v>
      </c>
      <c r="C184" s="2">
        <v>11035030</v>
      </c>
      <c r="E184" t="str">
        <f>+_xlfn.XLOOKUP(Tabla1[[#This Row],[Codigo]],Hoja2!$D$2:$D$420,Hoja2!$C$2:$C$420)</f>
        <v>UNION PANAMERICANA - AUT  [11035030; AO 09; GPRS; PROYECTO CHOCO]</v>
      </c>
    </row>
    <row r="185" spans="1:5" x14ac:dyDescent="0.25">
      <c r="A185" s="3">
        <v>184</v>
      </c>
      <c r="B185" s="21" t="s">
        <v>186</v>
      </c>
      <c r="C185" s="2">
        <v>2629700151</v>
      </c>
      <c r="E185" s="27" t="str">
        <f>+_xlfn.XLOOKUP(Tabla1[[#This Row],[Codigo]],Hoja2!$D$2:$D$420,Hoja2!$C$2:$C$420)</f>
        <v>C_LA VORAGINE - AUT   [2629700151; AO 09; HID; GPRS; FONDO ADAPTACION]</v>
      </c>
    </row>
    <row r="186" spans="1:5" x14ac:dyDescent="0.25">
      <c r="A186" s="1">
        <v>185</v>
      </c>
      <c r="B186" s="21" t="s">
        <v>187</v>
      </c>
      <c r="C186" s="2">
        <v>2636700098</v>
      </c>
      <c r="E186" t="str">
        <f>+_xlfn.XLOOKUP(Tabla1[[#This Row],[Codigo]],Hoja2!$D$2:$D$420,Hoja2!$C$2:$C$420)</f>
        <v>HACIENDA LA GRACIOSA - AUT   [2636700098; AO 09; HID; GPRS; FONDO ADAPTACION]</v>
      </c>
    </row>
    <row r="187" spans="1:5" x14ac:dyDescent="0.25">
      <c r="A187" s="1">
        <v>186</v>
      </c>
      <c r="B187" s="21" t="s">
        <v>188</v>
      </c>
      <c r="C187" s="2">
        <v>54020020</v>
      </c>
      <c r="E187" t="str">
        <f>+_xlfn.XLOOKUP(Tabla1[[#This Row],[Codigo]],Hoja2!$D$2:$D$420,Hoja2!$C$2:$C$420)</f>
        <v>NOVITA [54020020; AO 09; MET; GPRS; PROYECTO CHOCO]</v>
      </c>
    </row>
    <row r="188" spans="1:5" x14ac:dyDescent="0.25">
      <c r="A188" s="1">
        <v>187</v>
      </c>
      <c r="B188" s="21" t="s">
        <v>189</v>
      </c>
      <c r="C188" s="2">
        <v>2604500039</v>
      </c>
      <c r="E188" t="str">
        <f>+_xlfn.XLOOKUP(Tabla1[[#This Row],[Codigo]],Hoja2!$D$2:$D$420,Hoja2!$C$2:$C$420)</f>
        <v>CORINTO - AUT  [2604500039; AO 09; MET; GPRS; FONDO ADAPTACION]</v>
      </c>
    </row>
    <row r="189" spans="1:5" x14ac:dyDescent="0.25">
      <c r="A189" s="1">
        <v>188</v>
      </c>
      <c r="B189" s="21" t="s">
        <v>190</v>
      </c>
      <c r="C189" s="2">
        <v>21185090</v>
      </c>
      <c r="E189" t="str">
        <f>+_xlfn.XLOOKUP(Tabla1[[#This Row],[Codigo]],Hoja2!$D$2:$D$420,Hoja2!$C$2:$C$420)</f>
        <v>NATAIMA - AUT [21185090; AO 10; MET; GPRS; FONDO ADAPTACION]</v>
      </c>
    </row>
    <row r="190" spans="1:5" x14ac:dyDescent="0.25">
      <c r="A190" s="1">
        <v>189</v>
      </c>
      <c r="B190" s="21" t="s">
        <v>191</v>
      </c>
      <c r="C190" s="2">
        <v>21215190</v>
      </c>
      <c r="E190" t="str">
        <f>+_xlfn.XLOOKUP(Tabla1[[#This Row],[Codigo]],Hoja2!$D$2:$D$420,Hoja2!$C$2:$C$420)</f>
        <v>CAJAMARCA - AUT [21215190; AO 10; MET; GPRS; FONDO ADAPTACION]</v>
      </c>
    </row>
    <row r="191" spans="1:5" x14ac:dyDescent="0.25">
      <c r="A191" s="1">
        <v>190</v>
      </c>
      <c r="B191" s="21" t="s">
        <v>192</v>
      </c>
      <c r="C191" s="2">
        <v>21237010</v>
      </c>
      <c r="E191" t="str">
        <f>+_xlfn.XLOOKUP(Tabla1[[#This Row],[Codigo]],Hoja2!$D$2:$D$420,Hoja2!$C$2:$C$420)</f>
        <v>NARINO - AUT [21237010; AO 10; HID; GPRS;]</v>
      </c>
    </row>
    <row r="192" spans="1:5" x14ac:dyDescent="0.25">
      <c r="A192" s="3">
        <v>191</v>
      </c>
      <c r="B192" s="21" t="s">
        <v>193</v>
      </c>
      <c r="C192" s="2">
        <v>21215180</v>
      </c>
      <c r="E192" t="str">
        <f>+_xlfn.XLOOKUP(Tabla1[[#This Row],[Codigo]],Hoja2!$D$2:$D$420,Hoja2!$C$2:$C$420)</f>
        <v>BATALLON ROOKE  - AUT [21215180; AO 10; MET; GPRS; FONDO ADAPTACION]</v>
      </c>
    </row>
    <row r="193" spans="1:5" x14ac:dyDescent="0.25">
      <c r="A193" s="1">
        <v>192</v>
      </c>
      <c r="B193" s="21" t="s">
        <v>194</v>
      </c>
      <c r="C193" s="2">
        <v>21215160</v>
      </c>
      <c r="E193" t="str">
        <f>+_xlfn.XLOOKUP(Tabla1[[#This Row],[Codigo]],Hoja2!$D$2:$D$420,Hoja2!$C$2:$C$420)</f>
        <v>CERROS NOROCCIDENTALES  - AUT [21215160; AO 10; MET; GPRS; FONDO ADAPTACION]</v>
      </c>
    </row>
    <row r="194" spans="1:5" x14ac:dyDescent="0.25">
      <c r="A194" s="1">
        <v>193</v>
      </c>
      <c r="B194" s="21" t="s">
        <v>195</v>
      </c>
      <c r="C194" s="2">
        <v>21255170</v>
      </c>
      <c r="E194" s="27" t="str">
        <f>+_xlfn.XLOOKUP(Tabla1[[#This Row],[Codigo]],Hoja2!$D$2:$D$420,Hoja2!$C$2:$C$420)</f>
        <v>C_MURILLO - AUT [21255170; AO 10; MET; GPRS; FONDO ADAPTACION]</v>
      </c>
    </row>
    <row r="195" spans="1:5" x14ac:dyDescent="0.25">
      <c r="A195" s="1">
        <v>194</v>
      </c>
      <c r="B195" s="21" t="s">
        <v>196</v>
      </c>
      <c r="C195" s="2">
        <v>23035030</v>
      </c>
      <c r="E195" t="str">
        <f>+_xlfn.XLOOKUP(Tabla1[[#This Row],[Codigo]],Hoja2!$D$2:$D$420,Hoja2!$C$2:$C$420)</f>
        <v>BASE PALANQUERO  - AUT [23035030; CUN; MET; GOES: CB13F5EC; AO10; FONDO ADAPTACION]</v>
      </c>
    </row>
    <row r="196" spans="1:5" x14ac:dyDescent="0.25">
      <c r="A196" s="1">
        <v>195</v>
      </c>
      <c r="B196" s="21" t="s">
        <v>197</v>
      </c>
      <c r="C196" s="2">
        <v>23037010</v>
      </c>
      <c r="E196" t="str">
        <f>+_xlfn.XLOOKUP(Tabla1[[#This Row],[Codigo]],Hoja2!$D$2:$D$420,Hoja2!$C$2:$C$420)</f>
        <v>PUERTO SALGAR - AUT [23037010; AO 10; HID; GPRS; FONDO ADAPTACION]</v>
      </c>
    </row>
    <row r="197" spans="1:5" x14ac:dyDescent="0.25">
      <c r="A197" s="1">
        <v>196</v>
      </c>
      <c r="B197" s="21" t="s">
        <v>198</v>
      </c>
      <c r="C197" s="2">
        <v>21160260</v>
      </c>
      <c r="E197" t="str">
        <f>+_xlfn.XLOOKUP(Tabla1[[#This Row],[Codigo]],Hoja2!$D$2:$D$420,Hoja2!$C$2:$C$420)</f>
        <v>PUERTO LLERAS TOLIMA  - AUT [21160260; TOL; MET; INMARSAT; AO10; FONDO ADAPTACION]</v>
      </c>
    </row>
    <row r="198" spans="1:5" x14ac:dyDescent="0.25">
      <c r="A198" s="1">
        <v>197</v>
      </c>
      <c r="B198" s="21" t="s">
        <v>199</v>
      </c>
      <c r="C198" s="2">
        <v>2302500064</v>
      </c>
      <c r="E198" t="str">
        <f>+_xlfn.XLOOKUP(Tabla1[[#This Row],[Codigo]],Hoja2!$D$2:$D$420,Hoja2!$C$2:$C$420)</f>
        <v>MANZANARES - AUT [2302500064; AO 10; MET; GPRS; FONDO ADAPTACION]</v>
      </c>
    </row>
    <row r="199" spans="1:5" x14ac:dyDescent="0.25">
      <c r="A199" s="3">
        <v>198</v>
      </c>
      <c r="B199" s="21" t="s">
        <v>200</v>
      </c>
      <c r="C199" s="2">
        <v>2301700089</v>
      </c>
      <c r="E199" t="str">
        <f>+_xlfn.XLOOKUP(Tabla1[[#This Row],[Codigo]],Hoja2!$D$2:$D$420,Hoja2!$C$2:$C$420)</f>
        <v>GUALÍ ALERTAS - AUT   [2301700089; AO 10; HID; GPRS; FONDO ADAPTACION]</v>
      </c>
    </row>
    <row r="200" spans="1:5" x14ac:dyDescent="0.25">
      <c r="A200" s="1">
        <v>199</v>
      </c>
      <c r="B200" s="21" t="s">
        <v>201</v>
      </c>
      <c r="C200" s="2">
        <v>2305500055</v>
      </c>
      <c r="E200" t="str">
        <f>+_xlfn.XLOOKUP(Tabla1[[#This Row],[Codigo]],Hoja2!$D$2:$D$420,Hoja2!$C$2:$C$420)</f>
        <v>SAN JOSE DE PENSILVANIA - AUT   [2305500055; AO 10; MET; GPRS; FONDO ADAPTACION ]</v>
      </c>
    </row>
    <row r="201" spans="1:5" x14ac:dyDescent="0.25">
      <c r="A201" s="1">
        <v>200</v>
      </c>
      <c r="B201" s="21" t="s">
        <v>202</v>
      </c>
      <c r="C201" s="2">
        <v>21257100</v>
      </c>
      <c r="E201" t="str">
        <f>+_xlfn.XLOOKUP(Tabla1[[#This Row],[Codigo]],Hoja2!$D$2:$D$420,Hoja2!$C$2:$C$420)</f>
        <v>LA NUEVA - AUT [21257100; AO 10; HID; GPRS; FONDO ADAPTACION]</v>
      </c>
    </row>
    <row r="202" spans="1:5" x14ac:dyDescent="0.25">
      <c r="A202" s="1">
        <v>201</v>
      </c>
      <c r="B202" s="21" t="s">
        <v>203</v>
      </c>
      <c r="C202" s="2">
        <v>22045010</v>
      </c>
      <c r="E202" t="str">
        <f>+_xlfn.XLOOKUP(Tabla1[[#This Row],[Codigo]],Hoja2!$D$2:$D$420,Hoja2!$C$2:$C$420)</f>
        <v>DEMOSTRACION GRANJA  - AUT [22045010; AO 10; MET; GPRS; FONDO ADAPTACION]</v>
      </c>
    </row>
    <row r="203" spans="1:5" x14ac:dyDescent="0.25">
      <c r="A203" s="1">
        <v>202</v>
      </c>
      <c r="B203" s="21" t="s">
        <v>204</v>
      </c>
      <c r="C203" s="2">
        <v>23067040</v>
      </c>
      <c r="E203" s="27" t="str">
        <f>+_xlfn.XLOOKUP(Tabla1[[#This Row],[Codigo]],Hoja2!$D$2:$D$420,Hoja2!$C$2:$C$420)</f>
        <v>C_PUERTO LIBRE  - AUT [23067040; AO 10; HID; GPRS; FONDO ADAPTACION]</v>
      </c>
    </row>
    <row r="204" spans="1:5" x14ac:dyDescent="0.25">
      <c r="A204" s="1">
        <v>203</v>
      </c>
      <c r="B204" s="21" t="s">
        <v>205</v>
      </c>
      <c r="C204" s="2">
        <v>21195170</v>
      </c>
      <c r="E204" t="str">
        <f>+_xlfn.XLOOKUP(Tabla1[[#This Row],[Codigo]],Hoja2!$D$2:$D$420,Hoja2!$C$2:$C$420)</f>
        <v>PAQUILO [21195170; AO 11; FONDO ADAPTACION]</v>
      </c>
    </row>
    <row r="205" spans="1:5" x14ac:dyDescent="0.25">
      <c r="A205" s="1">
        <v>204</v>
      </c>
      <c r="B205" s="21" t="s">
        <v>206</v>
      </c>
      <c r="C205" s="2">
        <v>23125170</v>
      </c>
      <c r="E205" t="str">
        <f>+_xlfn.XLOOKUP(Tabla1[[#This Row],[Codigo]],Hoja2!$D$2:$D$420,Hoja2!$C$2:$C$420)</f>
        <v>SAN CAYETANO [23125170; AO11; FONDO ADAPTACION]</v>
      </c>
    </row>
    <row r="206" spans="1:5" x14ac:dyDescent="0.25">
      <c r="A206" s="3">
        <v>205</v>
      </c>
      <c r="B206" s="21" t="s">
        <v>207</v>
      </c>
      <c r="C206" s="2">
        <v>35025080</v>
      </c>
      <c r="E206" t="str">
        <f>+_xlfn.XLOOKUP(Tabla1[[#This Row],[Codigo]],Hoja2!$D$2:$D$420,Hoja2!$C$2:$C$420)</f>
        <v>PNN CHINGAZA [35025080; AO11; FONDO ADAPTACION]</v>
      </c>
    </row>
    <row r="207" spans="1:5" x14ac:dyDescent="0.25">
      <c r="A207" s="1">
        <v>206</v>
      </c>
      <c r="B207" s="21" t="s">
        <v>208</v>
      </c>
      <c r="C207" s="2">
        <v>23065180</v>
      </c>
      <c r="E207" t="str">
        <f>+_xlfn.XLOOKUP(Tabla1[[#This Row],[Codigo]],Hoja2!$D$2:$D$420,Hoja2!$C$2:$C$420)</f>
        <v>VILLETA [23065180; AO 11; FONDO ADAPTACION]</v>
      </c>
    </row>
    <row r="208" spans="1:5" x14ac:dyDescent="0.25">
      <c r="A208" s="1">
        <v>207</v>
      </c>
      <c r="B208" s="21" t="s">
        <v>209</v>
      </c>
      <c r="C208" s="2">
        <v>23065190</v>
      </c>
      <c r="E208" t="str">
        <f>+_xlfn.XLOOKUP(Tabla1[[#This Row],[Codigo]],Hoja2!$D$2:$D$420,Hoja2!$C$2:$C$420)</f>
        <v>QUEBRADA NEGRA [23065190; AO 11; FONDO ADAPTACION]</v>
      </c>
    </row>
    <row r="209" spans="1:5" x14ac:dyDescent="0.25">
      <c r="A209" s="1">
        <v>208</v>
      </c>
      <c r="B209" s="21" t="s">
        <v>210</v>
      </c>
      <c r="C209" s="2">
        <v>21206280</v>
      </c>
      <c r="E209" t="str">
        <f>+_xlfn.XLOOKUP(Tabla1[[#This Row],[Codigo]],Hoja2!$D$2:$D$420,Hoja2!$C$2:$C$420)</f>
        <v>ACAPULCO [21206280; AO11; FONDO ADAPTACION]</v>
      </c>
    </row>
    <row r="210" spans="1:5" x14ac:dyDescent="0.25">
      <c r="A210" s="1">
        <v>209</v>
      </c>
      <c r="B210" s="21" t="s">
        <v>211</v>
      </c>
      <c r="C210" s="2">
        <v>21197010</v>
      </c>
      <c r="E210" t="str">
        <f>+_xlfn.XLOOKUP(Tabla1[[#This Row],[Codigo]],Hoja2!$D$2:$D$420,Hoja2!$C$2:$C$420)</f>
        <v>EL PROFUNDO [21197010; AO 11; FONDO ADAPTACION]</v>
      </c>
    </row>
    <row r="211" spans="1:5" x14ac:dyDescent="0.25">
      <c r="A211" s="1">
        <v>210</v>
      </c>
      <c r="B211" s="21" t="s">
        <v>212</v>
      </c>
      <c r="C211" s="2">
        <v>2120700146</v>
      </c>
      <c r="E211" t="str">
        <f>+_xlfn.XLOOKUP(Tabla1[[#This Row],[Codigo]],Hoja2!$D$2:$D$420,Hoja2!$C$2:$C$420)</f>
        <v>UNIVERSIDAD DE LA SABANA [2120700146; AO11; FONDO ADAPTACIÓN]</v>
      </c>
    </row>
    <row r="212" spans="1:5" x14ac:dyDescent="0.25">
      <c r="A212" s="1">
        <v>211</v>
      </c>
      <c r="B212" s="21" t="s">
        <v>213</v>
      </c>
      <c r="C212" s="2">
        <v>35027100</v>
      </c>
      <c r="E212" t="str">
        <f>+_xlfn.XLOOKUP(Tabla1[[#This Row],[Codigo]],Hoja2!$D$2:$D$420,Hoja2!$C$2:$C$420)</f>
        <v>CARAZA [35027100; AO 11; FONDO ADAPTACION]</v>
      </c>
    </row>
    <row r="213" spans="1:5" x14ac:dyDescent="0.25">
      <c r="A213" s="3">
        <v>212</v>
      </c>
      <c r="B213" s="21" t="s">
        <v>214</v>
      </c>
      <c r="C213" s="2">
        <v>21205660</v>
      </c>
      <c r="E213" t="str">
        <f>+_xlfn.XLOOKUP(Tabla1[[#This Row],[Codigo]],Hoja2!$D$2:$D$420,Hoja2!$C$2:$C$420)</f>
        <v>MERCEDES [21205660; AO 11; FONDO ADAPTACION]</v>
      </c>
    </row>
    <row r="214" spans="1:5" x14ac:dyDescent="0.25">
      <c r="A214" s="1">
        <v>213</v>
      </c>
      <c r="B214" s="21" t="s">
        <v>215</v>
      </c>
      <c r="C214" s="2">
        <v>21206600</v>
      </c>
      <c r="E214" t="str">
        <f>+_xlfn.XLOOKUP(Tabla1[[#This Row],[Codigo]],Hoja2!$D$2:$D$420,Hoja2!$C$2:$C$420)</f>
        <v>NUEVA GENERACION [21206600; AO11; FONDO ADAPTACION]</v>
      </c>
    </row>
    <row r="215" spans="1:5" x14ac:dyDescent="0.25">
      <c r="A215" s="1">
        <v>214</v>
      </c>
      <c r="B215" s="21" t="s">
        <v>216</v>
      </c>
      <c r="C215" s="2">
        <v>21205910</v>
      </c>
      <c r="E215" t="str">
        <f>+_xlfn.XLOOKUP(Tabla1[[#This Row],[Codigo]],Hoja2!$D$2:$D$420,Hoja2!$C$2:$C$420)</f>
        <v>LA COSECHA [21205910; AO11; FONDO ADAPTACION]</v>
      </c>
    </row>
    <row r="216" spans="1:5" x14ac:dyDescent="0.25">
      <c r="A216" s="1">
        <v>215</v>
      </c>
      <c r="B216" s="21" t="s">
        <v>217</v>
      </c>
      <c r="C216" s="2">
        <v>21205970</v>
      </c>
      <c r="E216" t="str">
        <f>+_xlfn.XLOOKUP(Tabla1[[#This Row],[Codigo]],Hoja2!$D$2:$D$420,Hoja2!$C$2:$C$420)</f>
        <v>HACIENDA SANTA ANA [21205970; AO11]</v>
      </c>
    </row>
    <row r="217" spans="1:5" x14ac:dyDescent="0.25">
      <c r="A217" s="1">
        <v>216</v>
      </c>
      <c r="B217" s="21" t="s">
        <v>218</v>
      </c>
      <c r="C217" s="2">
        <v>23067070</v>
      </c>
      <c r="E217" t="str">
        <f>+_xlfn.XLOOKUP(Tabla1[[#This Row],[Codigo]],Hoja2!$D$2:$D$420,Hoja2!$C$2:$C$420)</f>
        <v>VILLETA [23067070; AO 11; FONDO ADAPTACION]</v>
      </c>
    </row>
    <row r="218" spans="1:5" x14ac:dyDescent="0.25">
      <c r="A218" s="1">
        <v>217</v>
      </c>
      <c r="B218" s="21" t="s">
        <v>219</v>
      </c>
      <c r="C218" s="2">
        <v>24015380</v>
      </c>
      <c r="E218" t="str">
        <f>+_xlfn.XLOOKUP(Tabla1[[#This Row],[Codigo]],Hoja2!$D$2:$D$420,Hoja2!$C$2:$C$420)</f>
        <v>CARMEN DE CARUPA [24015380; AO11; FONDO ADAPTACION]</v>
      </c>
    </row>
    <row r="219" spans="1:5" x14ac:dyDescent="0.25">
      <c r="A219" s="1">
        <v>218</v>
      </c>
      <c r="B219" s="21" t="s">
        <v>220</v>
      </c>
      <c r="C219" s="2">
        <v>2120500135</v>
      </c>
      <c r="E219" t="str">
        <f>+_xlfn.XLOOKUP(Tabla1[[#This Row],[Codigo]],Hoja2!$D$2:$D$420,Hoja2!$C$2:$C$420)</f>
        <v>UNIVERSIDAD DE LA SABANA [2120500135; AO11; FONDO ADAPTACION]</v>
      </c>
    </row>
    <row r="220" spans="1:5" x14ac:dyDescent="0.25">
      <c r="A220" s="3">
        <v>219</v>
      </c>
      <c r="B220" s="21" t="s">
        <v>221</v>
      </c>
      <c r="C220" s="2">
        <v>21195120</v>
      </c>
      <c r="E220" t="str">
        <f>+_xlfn.XLOOKUP(Tabla1[[#This Row],[Codigo]],Hoja2!$D$2:$D$420,Hoja2!$C$2:$C$420)</f>
        <v>ITA VALSALICE [21195120; AO-11; FONDO ADAPTACION]</v>
      </c>
    </row>
    <row r="221" spans="1:5" x14ac:dyDescent="0.25">
      <c r="A221" s="1">
        <v>220</v>
      </c>
      <c r="B221" s="21" t="s">
        <v>222</v>
      </c>
      <c r="C221" s="2">
        <v>21205940</v>
      </c>
      <c r="E221" t="str">
        <f>+_xlfn.XLOOKUP(Tabla1[[#This Row],[Codigo]],Hoja2!$D$2:$D$420,Hoja2!$C$2:$C$420)</f>
        <v>VILLA INES [21205940; AO11; FONDO ADAPTACION]</v>
      </c>
    </row>
    <row r="222" spans="1:5" x14ac:dyDescent="0.25">
      <c r="A222" s="1">
        <v>221</v>
      </c>
      <c r="B222" s="21" t="s">
        <v>223</v>
      </c>
      <c r="C222" s="2">
        <v>23067060</v>
      </c>
      <c r="E222" t="str">
        <f>+_xlfn.XLOOKUP(Tabla1[[#This Row],[Codigo]],Hoja2!$D$2:$D$420,Hoja2!$C$2:$C$420)</f>
        <v>TOBIA [23067060; AO 11; FONDO ADAPTACION]</v>
      </c>
    </row>
    <row r="223" spans="1:5" x14ac:dyDescent="0.25">
      <c r="A223" s="1">
        <v>222</v>
      </c>
      <c r="B223" s="21" t="s">
        <v>224</v>
      </c>
      <c r="C223" s="2">
        <v>35035130</v>
      </c>
      <c r="E223" t="str">
        <f>+_xlfn.XLOOKUP(Tabla1[[#This Row],[Codigo]],Hoja2!$D$2:$D$420,Hoja2!$C$2:$C$420)</f>
        <v>PARAMO CHINGAZA [35035130; AO11; FONDO ADAPTACION]</v>
      </c>
    </row>
    <row r="224" spans="1:5" x14ac:dyDescent="0.25">
      <c r="A224" s="1">
        <v>223</v>
      </c>
      <c r="B224" s="21" t="s">
        <v>225</v>
      </c>
      <c r="C224" s="2">
        <v>12015060</v>
      </c>
      <c r="E224" t="str">
        <f>+_xlfn.XLOOKUP(Tabla1[[#This Row],[Codigo]],Hoja2!$D$2:$D$420,Hoja2!$C$2:$C$420)</f>
        <v>TULENAPA [12015060;AO 01;FONDO ADAPTACION]</v>
      </c>
    </row>
    <row r="225" spans="1:5" x14ac:dyDescent="0.25">
      <c r="A225" s="1">
        <v>224</v>
      </c>
      <c r="B225" s="21" t="s">
        <v>226</v>
      </c>
      <c r="C225" s="2">
        <v>2308500071</v>
      </c>
      <c r="E225" t="str">
        <f>+_xlfn.XLOOKUP(Tabla1[[#This Row],[Codigo]],Hoja2!$D$2:$D$420,Hoja2!$C$2:$C$420)</f>
        <v>RETIRO [2308500071;AO 01;FONDO ADAPTACION]</v>
      </c>
    </row>
    <row r="226" spans="1:5" x14ac:dyDescent="0.25">
      <c r="A226" s="1">
        <v>225</v>
      </c>
      <c r="B226" s="21" t="s">
        <v>227</v>
      </c>
      <c r="C226" s="2">
        <v>2621500070</v>
      </c>
      <c r="E226" t="str">
        <f>+_xlfn.XLOOKUP(Tabla1[[#This Row],[Codigo]],Hoja2!$D$2:$D$420,Hoja2!$C$2:$C$420)</f>
        <v>ITUANGO [2621500070;AO01;FONDO ADAPTACION]</v>
      </c>
    </row>
    <row r="227" spans="1:5" x14ac:dyDescent="0.25">
      <c r="A227" s="3">
        <v>226</v>
      </c>
      <c r="B227" s="21" t="s">
        <v>228</v>
      </c>
      <c r="C227" s="2">
        <v>23087160</v>
      </c>
      <c r="E227" t="str">
        <f>+_xlfn.XLOOKUP(Tabla1[[#This Row],[Codigo]],Hoja2!$D$2:$D$420,Hoja2!$C$2:$C$420)</f>
        <v>CARAMANTA [23087160;AO 01;FONDO ADAPTACION]</v>
      </c>
    </row>
    <row r="228" spans="1:5" x14ac:dyDescent="0.25">
      <c r="A228" s="1">
        <v>227</v>
      </c>
      <c r="B228" s="21" t="s">
        <v>229</v>
      </c>
      <c r="C228" s="2">
        <v>12025040</v>
      </c>
      <c r="E228" t="str">
        <f>+_xlfn.XLOOKUP(Tabla1[[#This Row],[Codigo]],Hoja2!$D$2:$D$420,Hoja2!$C$2:$C$420)</f>
        <v>TURBO [12025040;AO 01;FONDO ADAPTACION]</v>
      </c>
    </row>
    <row r="229" spans="1:5" x14ac:dyDescent="0.25">
      <c r="A229" s="1">
        <v>228</v>
      </c>
      <c r="B229" s="21" t="s">
        <v>230</v>
      </c>
      <c r="C229" s="2">
        <v>11115020</v>
      </c>
      <c r="E229" t="str">
        <f>+_xlfn.XLOOKUP(Tabla1[[#This Row],[Codigo]],Hoja2!$D$2:$D$420,Hoja2!$C$2:$C$420)</f>
        <v>CAÑASGORDAS  - AUT [11115020]</v>
      </c>
    </row>
    <row r="230" spans="1:5" x14ac:dyDescent="0.25">
      <c r="A230" s="1">
        <v>229</v>
      </c>
      <c r="B230" s="21" t="s">
        <v>231</v>
      </c>
      <c r="C230" s="2">
        <v>12015100</v>
      </c>
      <c r="E230" t="str">
        <f>+_xlfn.XLOOKUP(Tabla1[[#This Row],[Codigo]],Hoja2!$D$2:$D$420,Hoja2!$C$2:$C$420)</f>
        <v>PISTA INDIRA [12015100;AO 01;FONDO ADAPTACION]</v>
      </c>
    </row>
    <row r="231" spans="1:5" x14ac:dyDescent="0.25">
      <c r="A231" s="1">
        <v>230</v>
      </c>
      <c r="B231" s="21" t="s">
        <v>232</v>
      </c>
      <c r="C231" s="2">
        <v>26187040</v>
      </c>
      <c r="E231" t="str">
        <f>+_xlfn.XLOOKUP(Tabla1[[#This Row],[Codigo]],Hoja2!$D$2:$D$420,Hoja2!$C$2:$C$420)</f>
        <v>QUITASUEÑO [26187040;AO 01;FONDO ADAPTACION]</v>
      </c>
    </row>
    <row r="232" spans="1:5" x14ac:dyDescent="0.25">
      <c r="A232" s="1">
        <v>231</v>
      </c>
      <c r="B232" s="21" t="s">
        <v>233</v>
      </c>
      <c r="C232" s="2">
        <v>2619700161</v>
      </c>
      <c r="E232" t="str">
        <f>+_xlfn.XLOOKUP(Tabla1[[#This Row],[Codigo]],Hoja2!$D$2:$D$420,Hoja2!$C$2:$C$420)</f>
        <v>SALGAR [2619700161;AO 01;FONDO DE ADAPTACIÓN]</v>
      </c>
    </row>
    <row r="233" spans="1:5" x14ac:dyDescent="0.25">
      <c r="A233" s="1">
        <v>232</v>
      </c>
      <c r="B233" s="21" t="s">
        <v>234</v>
      </c>
      <c r="C233" s="2">
        <v>12027010</v>
      </c>
      <c r="E233" t="str">
        <f>+_xlfn.XLOOKUP(Tabla1[[#This Row],[Codigo]],Hoja2!$D$2:$D$420,Hoja2!$C$2:$C$420)</f>
        <v>PUEBLO BELLO  - AUT [12027010]</v>
      </c>
    </row>
    <row r="234" spans="1:5" x14ac:dyDescent="0.25">
      <c r="A234" s="3">
        <v>233</v>
      </c>
      <c r="B234" s="21" t="s">
        <v>235</v>
      </c>
      <c r="C234" s="2">
        <v>26180250</v>
      </c>
      <c r="E234" t="str">
        <f>+_xlfn.XLOOKUP(Tabla1[[#This Row],[Codigo]],Hoja2!$D$2:$D$420,Hoja2!$C$2:$C$420)</f>
        <v>VALLE ALTO [26180250;AO 01;FONDO ADAPTACION]</v>
      </c>
    </row>
    <row r="235" spans="1:5" x14ac:dyDescent="0.25">
      <c r="A235" s="1">
        <v>234</v>
      </c>
      <c r="B235" s="21" t="s">
        <v>236</v>
      </c>
      <c r="C235" s="2">
        <v>23087190</v>
      </c>
      <c r="E235" t="str">
        <f>+_xlfn.XLOOKUP(Tabla1[[#This Row],[Codigo]],Hoja2!$D$2:$D$420,Hoja2!$C$2:$C$420)</f>
        <v>LA GARRUCHA [23087190; ANT; HID; INMARSAT; AO01; FONDO ADAPTACION]</v>
      </c>
    </row>
    <row r="236" spans="1:5" x14ac:dyDescent="0.25">
      <c r="A236" s="1">
        <v>235</v>
      </c>
      <c r="B236" s="21" t="s">
        <v>237</v>
      </c>
      <c r="C236" s="2">
        <v>27037020</v>
      </c>
      <c r="E236" t="str">
        <f>+_xlfn.XLOOKUP(Tabla1[[#This Row],[Codigo]],Hoja2!$D$2:$D$420,Hoja2!$C$2:$C$420)</f>
        <v>EL RETIRO - AUT [27037020;AO 01;AUTOPISTAS NORDESTE]</v>
      </c>
    </row>
    <row r="237" spans="1:5" x14ac:dyDescent="0.25">
      <c r="A237" s="1">
        <v>236</v>
      </c>
      <c r="B237" s="21" t="s">
        <v>238</v>
      </c>
      <c r="C237" s="2">
        <v>12017020</v>
      </c>
      <c r="E237" t="str">
        <f>+_xlfn.XLOOKUP(Tabla1[[#This Row],[Codigo]],Hoja2!$D$2:$D$420,Hoja2!$C$2:$C$420)</f>
        <v>BARRANQUILLITA [12017020;AO 01;FONDO ADAPTACION]</v>
      </c>
    </row>
    <row r="238" spans="1:5" x14ac:dyDescent="0.25">
      <c r="A238" s="1">
        <v>237</v>
      </c>
      <c r="B238" s="21" t="s">
        <v>239</v>
      </c>
      <c r="C238" s="2">
        <v>11135030</v>
      </c>
      <c r="E238" t="str">
        <f>+_xlfn.XLOOKUP(Tabla1[[#This Row],[Codigo]],Hoja2!$D$2:$D$420,Hoja2!$C$2:$C$420)</f>
        <v>UNGUIA [11135030;AO 01;FONDO ADAPTACION]</v>
      </c>
    </row>
    <row r="239" spans="1:5" x14ac:dyDescent="0.25">
      <c r="A239" s="1">
        <v>238</v>
      </c>
      <c r="B239" s="21" t="s">
        <v>240</v>
      </c>
      <c r="C239" s="2">
        <v>2614500116</v>
      </c>
      <c r="E239" t="str">
        <f>+_xlfn.XLOOKUP(Tabla1[[#This Row],[Codigo]],Hoja2!$D$2:$D$420,Hoja2!$C$2:$C$420)</f>
        <v>EL JARDIN CUENCA ALTA RIO RISARALDA - AUT[2614500116;AO 01;FONDO ADAPTACION]</v>
      </c>
    </row>
    <row r="240" spans="1:5" x14ac:dyDescent="0.25">
      <c r="A240" s="1">
        <v>239</v>
      </c>
      <c r="B240" s="21" t="s">
        <v>241</v>
      </c>
      <c r="C240" s="2">
        <v>1303500074</v>
      </c>
      <c r="E240" t="str">
        <f>+_xlfn.XLOOKUP(Tabla1[[#This Row],[Codigo]],Hoja2!$D$2:$D$420,Hoja2!$C$2:$C$420)</f>
        <v>LOMA VERDE - AUT [1303500074; AO02; FONDO ADAPTACION]</v>
      </c>
    </row>
    <row r="241" spans="1:5" x14ac:dyDescent="0.25">
      <c r="A241" s="3">
        <v>240</v>
      </c>
      <c r="B241" s="21" t="s">
        <v>242</v>
      </c>
      <c r="C241" s="2">
        <v>2501500120</v>
      </c>
      <c r="E241" t="str">
        <f>+_xlfn.XLOOKUP(Tabla1[[#This Row],[Codigo]],Hoja2!$D$2:$D$420,Hoja2!$C$2:$C$420)</f>
        <v>JUAN JOSE - AUT   [2501500120; AO02; FONDO DE ADAPTACIÓN]</v>
      </c>
    </row>
    <row r="242" spans="1:5" x14ac:dyDescent="0.25">
      <c r="A242" s="1">
        <v>241</v>
      </c>
      <c r="B242" s="21" t="s">
        <v>243</v>
      </c>
      <c r="C242" s="2">
        <v>25025340</v>
      </c>
      <c r="E242" t="str">
        <f>+_xlfn.XLOOKUP(Tabla1[[#This Row],[Codigo]],Hoja2!$D$2:$D$420,Hoja2!$C$2:$C$420)</f>
        <v>SAN MARCOS - AUT [25025340; AO02; FONDO ADAPTACION]</v>
      </c>
    </row>
    <row r="243" spans="1:5" x14ac:dyDescent="0.25">
      <c r="A243" s="1">
        <v>242</v>
      </c>
      <c r="B243" s="21" t="s">
        <v>244</v>
      </c>
      <c r="C243" s="2">
        <v>2502700153</v>
      </c>
      <c r="E243" t="str">
        <f>+_xlfn.XLOOKUP(Tabla1[[#This Row],[Codigo]],Hoja2!$D$2:$D$420,Hoja2!$C$2:$C$420)</f>
        <v>PLANTA ECOPETROL - AUT   [2502700153; AO02;  ]  SINIESTRO: BRAZO+NIVEL+BATERIA</v>
      </c>
    </row>
    <row r="244" spans="1:5" x14ac:dyDescent="0.25">
      <c r="A244" s="1">
        <v>243</v>
      </c>
      <c r="B244" s="21" t="s">
        <v>245</v>
      </c>
      <c r="C244" s="2">
        <v>3503500062</v>
      </c>
      <c r="E244" t="str">
        <f>+_xlfn.XLOOKUP(Tabla1[[#This Row],[Codigo]],Hoja2!$D$2:$D$420,Hoja2!$C$2:$C$420)</f>
        <v>EL CALVARIO - AUT [3503500062;AO 03;FONDO ADAPTACION]</v>
      </c>
    </row>
    <row r="245" spans="1:5" x14ac:dyDescent="0.25">
      <c r="A245" s="1">
        <v>244</v>
      </c>
      <c r="B245" s="21" t="s">
        <v>246</v>
      </c>
      <c r="C245" s="2">
        <v>3502700090</v>
      </c>
      <c r="E245" t="str">
        <f>+_xlfn.XLOOKUP(Tabla1[[#This Row],[Codigo]],Hoja2!$D$2:$D$420,Hoja2!$C$2:$C$420)</f>
        <v>GUAYURIBA - AUT [3502700090;AO 03;FONDO ADAPTACION]</v>
      </c>
    </row>
    <row r="246" spans="1:5" x14ac:dyDescent="0.25">
      <c r="A246" s="1">
        <v>245</v>
      </c>
      <c r="B246" s="21" t="s">
        <v>247</v>
      </c>
      <c r="C246" s="2">
        <v>35095110</v>
      </c>
      <c r="E246" t="str">
        <f>+_xlfn.XLOOKUP(Tabla1[[#This Row],[Codigo]],Hoja2!$D$2:$D$420,Hoja2!$C$2:$C$420)</f>
        <v>HUERTA LA GRANDE [35095110;AO 03;FONDO ADAPTACION]</v>
      </c>
    </row>
    <row r="247" spans="1:5" x14ac:dyDescent="0.25">
      <c r="A247" s="1">
        <v>246</v>
      </c>
      <c r="B247" s="21" t="s">
        <v>248</v>
      </c>
      <c r="C247" s="2">
        <v>44037040</v>
      </c>
      <c r="E247" t="str">
        <f>+_xlfn.XLOOKUP(Tabla1[[#This Row],[Codigo]],Hoja2!$D$2:$D$420,Hoja2!$C$2:$C$420)</f>
        <v>EL ROSARIO - AUT [44037040;CAQ;HID;INMARSAT; AO04; FONDO ADAPTACION]</v>
      </c>
    </row>
    <row r="248" spans="1:5" x14ac:dyDescent="0.25">
      <c r="A248" s="3">
        <v>247</v>
      </c>
      <c r="B248" s="21" t="s">
        <v>249</v>
      </c>
      <c r="C248" s="2">
        <v>21117100</v>
      </c>
      <c r="E248" t="str">
        <f>+_xlfn.XLOOKUP(Tabla1[[#This Row],[Codigo]],Hoja2!$D$2:$D$420,Hoja2!$C$2:$C$420)</f>
        <v>PUEBLO NUEVO - AUT [21117100; HUI; HID; INMARSAT; AO04; FONDO ADAPTACION]</v>
      </c>
    </row>
    <row r="249" spans="1:5" x14ac:dyDescent="0.25">
      <c r="A249" s="1">
        <v>248</v>
      </c>
      <c r="B249" s="21" t="s">
        <v>250</v>
      </c>
      <c r="C249" s="2">
        <v>21055070</v>
      </c>
      <c r="E249" t="str">
        <f>+_xlfn.XLOOKUP(Tabla1[[#This Row],[Codigo]],Hoja2!$D$2:$D$420,Hoja2!$C$2:$C$420)</f>
        <v>INZA - AUT [21055070; CAU; MET; INMARSAT; AO04; FONDO ADAPTACION]</v>
      </c>
    </row>
    <row r="250" spans="1:5" x14ac:dyDescent="0.25">
      <c r="A250" s="1">
        <v>249</v>
      </c>
      <c r="B250" s="21" t="s">
        <v>251</v>
      </c>
      <c r="C250" s="2">
        <v>21137050</v>
      </c>
      <c r="E250" t="str">
        <f>+_xlfn.XLOOKUP(Tabla1[[#This Row],[Codigo]],Hoja2!$D$2:$D$420,Hoja2!$C$2:$C$420)</f>
        <v>ANGOSTURA  - AUT [21137050; TOL; HID; INMARSAT; AO04; FONDO ADAPTACION]</v>
      </c>
    </row>
    <row r="251" spans="1:5" x14ac:dyDescent="0.25">
      <c r="A251" s="1">
        <v>250</v>
      </c>
      <c r="B251" s="21" t="s">
        <v>252</v>
      </c>
      <c r="C251" s="2">
        <v>2105700099</v>
      </c>
      <c r="E251" t="str">
        <f>+_xlfn.XLOOKUP(Tabla1[[#This Row],[Codigo]],Hoja2!$D$2:$D$420,Hoja2!$C$2:$C$420)</f>
        <v>PUENTE COHETANDO - AUT   [2105700099;CAU;HID;LM;N;AO04; H8; JISOLANO; 55-5; IPWD; R24;FNCM; ; ]</v>
      </c>
    </row>
    <row r="252" spans="1:5" x14ac:dyDescent="0.25">
      <c r="A252" s="1">
        <v>251</v>
      </c>
      <c r="B252" s="21" t="s">
        <v>253</v>
      </c>
      <c r="C252" s="2">
        <v>44035050</v>
      </c>
      <c r="E252" t="str">
        <f>+_xlfn.XLOOKUP(Tabla1[[#This Row],[Codigo]],Hoja2!$D$2:$D$420,Hoja2!$C$2:$C$420)</f>
        <v>MACAGUAL - AUT [44035050; CAQ; MET; AM; R; AO04 ; H2; OCARVAJAL; 55-3; IPWD; R24; FNCM; ; ]</v>
      </c>
    </row>
    <row r="253" spans="1:5" x14ac:dyDescent="0.25">
      <c r="A253" s="1">
        <v>252</v>
      </c>
      <c r="B253" s="21" t="s">
        <v>254</v>
      </c>
      <c r="C253" s="2">
        <v>46015030</v>
      </c>
      <c r="E253" t="str">
        <f>+_xlfn.XLOOKUP(Tabla1[[#This Row],[Codigo]],Hoja2!$D$2:$D$420,Hoja2!$C$2:$C$420)</f>
        <v>SAN VICENTE DEL CAGUAN  - AUT [46015030; CAQ; MET; INMARSAT; AO04; FONDO ADAPTACION]</v>
      </c>
    </row>
    <row r="254" spans="1:5" x14ac:dyDescent="0.25">
      <c r="A254" s="1">
        <v>253</v>
      </c>
      <c r="B254" s="21" t="s">
        <v>255</v>
      </c>
      <c r="C254" s="2">
        <v>21015050</v>
      </c>
      <c r="E254" t="str">
        <f>+_xlfn.XLOOKUP(Tabla1[[#This Row],[Codigo]],Hoja2!$D$2:$D$420,Hoja2!$C$2:$C$420)</f>
        <v>PURACE  - AUT [21015050; HUI; MET; INMARSAT; AO04; FONDO ADAPTACION]</v>
      </c>
    </row>
    <row r="255" spans="1:5" x14ac:dyDescent="0.25">
      <c r="A255" s="3">
        <v>254</v>
      </c>
      <c r="B255" s="21" t="s">
        <v>256</v>
      </c>
      <c r="C255" s="2">
        <v>21147030</v>
      </c>
      <c r="E255" t="str">
        <f>+_xlfn.XLOOKUP(Tabla1[[#This Row],[Codigo]],Hoja2!$D$2:$D$420,Hoja2!$C$2:$C$420)</f>
        <v>CARRASPOSO  - AUT [21147030; HUI; HID; INMARSAT; AO04; FONDO ADAPTACION]</v>
      </c>
    </row>
    <row r="256" spans="1:5" x14ac:dyDescent="0.25">
      <c r="A256" s="1">
        <v>255</v>
      </c>
      <c r="B256" s="21" t="s">
        <v>257</v>
      </c>
      <c r="C256" s="2">
        <v>46035010</v>
      </c>
      <c r="E256" t="str">
        <f>+_xlfn.XLOOKUP(Tabla1[[#This Row],[Codigo]],Hoja2!$D$2:$D$420,Hoja2!$C$2:$C$420)</f>
        <v>MAGUARE - AUT [46035010; CAQ; MET; INMARSAT; AO04; FONDO ADAPTACIÓN]</v>
      </c>
    </row>
    <row r="257" spans="1:5" x14ac:dyDescent="0.25">
      <c r="A257" s="1">
        <v>256</v>
      </c>
      <c r="B257" s="21" t="s">
        <v>258</v>
      </c>
      <c r="C257" s="2">
        <v>21037020</v>
      </c>
      <c r="E257" t="str">
        <f>+_xlfn.XLOOKUP(Tabla1[[#This Row],[Codigo]],Hoja2!$D$2:$D$420,Hoja2!$C$2:$C$420)</f>
        <v>SAN MARCOS  - AUT [21037020; HUI; HID; INMARSAT; AO04; FONDO ADAPTACION]</v>
      </c>
    </row>
    <row r="258" spans="1:5" x14ac:dyDescent="0.25">
      <c r="A258" s="1">
        <v>257</v>
      </c>
      <c r="B258" s="21" t="s">
        <v>259</v>
      </c>
      <c r="C258" s="2">
        <v>21015070</v>
      </c>
      <c r="E258" t="str">
        <f>+_xlfn.XLOOKUP(Tabla1[[#This Row],[Codigo]],Hoja2!$D$2:$D$420,Hoja2!$C$2:$C$420)</f>
        <v>LOS GUACHAROS  - AUT [21015070; HUI; MET; INMARSAT; AO04; FONDO ADAPTACION]</v>
      </c>
    </row>
    <row r="259" spans="1:5" x14ac:dyDescent="0.25">
      <c r="A259" s="1">
        <v>258</v>
      </c>
      <c r="B259" s="21" t="s">
        <v>260</v>
      </c>
      <c r="C259" s="2">
        <v>21115170</v>
      </c>
      <c r="E259" t="str">
        <f>+_xlfn.XLOOKUP(Tabla1[[#This Row],[Codigo]],Hoja2!$D$2:$D$420,Hoja2!$C$2:$C$420)</f>
        <v>LA PLATA - AUT [21115170; HUI; MET; INMARSAT; AO04; FONDO ADAPTACION]</v>
      </c>
    </row>
    <row r="260" spans="1:5" x14ac:dyDescent="0.25">
      <c r="A260" s="1">
        <v>259</v>
      </c>
      <c r="B260" s="21" t="s">
        <v>261</v>
      </c>
      <c r="C260" s="2">
        <v>28035070</v>
      </c>
      <c r="E260" t="str">
        <f>+_xlfn.XLOOKUP(Tabla1[[#This Row],[Codigo]],Hoja2!$D$2:$D$420,Hoja2!$C$2:$C$420)</f>
        <v>GUATAPURI [28035070; CES; MET; CP; AO05; H5; JSOLANO; 50-5; ; R24; FNCM; ; ]</v>
      </c>
    </row>
    <row r="261" spans="1:5" x14ac:dyDescent="0.25">
      <c r="A261" s="1">
        <v>260</v>
      </c>
      <c r="B261" s="21" t="s">
        <v>262</v>
      </c>
      <c r="C261" s="2">
        <v>2906500077</v>
      </c>
      <c r="E261" t="str">
        <f>+_xlfn.XLOOKUP(Tabla1[[#This Row],[Codigo]],Hoja2!$D$2:$D$420,Hoja2!$C$2:$C$420)</f>
        <v>PALMOR - SIERRA NEVADA - AUT [2906500077; MAG; MET; INMARSAT; AO05; FONDO ADAPTACION]</v>
      </c>
    </row>
    <row r="262" spans="1:5" x14ac:dyDescent="0.25">
      <c r="A262" s="3">
        <v>261</v>
      </c>
      <c r="B262" s="21" t="s">
        <v>263</v>
      </c>
      <c r="C262" s="2">
        <v>2801700088</v>
      </c>
      <c r="E262" t="e">
        <f>+_xlfn.XLOOKUP(Tabla1[[#This Row],[Codigo]],Hoja2!$D$2:$D$420,Hoja2!$C$2:$C$420)</f>
        <v>#N/A</v>
      </c>
    </row>
    <row r="263" spans="1:5" x14ac:dyDescent="0.25">
      <c r="A263" s="1">
        <v>262</v>
      </c>
      <c r="B263" s="21" t="s">
        <v>264</v>
      </c>
      <c r="C263" s="2">
        <v>1509500118</v>
      </c>
      <c r="E263" t="str">
        <f>+_xlfn.XLOOKUP(Tabla1[[#This Row],[Codigo]],Hoja2!$D$2:$D$420,Hoja2!$C$2:$C$420)</f>
        <v>GUACHACA - AUT   [1509500118; MAG; MET; CP; N; AO05; H10; JSOLANO; 55-5; IPWD; R24;  RELE]</v>
      </c>
    </row>
    <row r="264" spans="1:5" x14ac:dyDescent="0.25">
      <c r="A264" s="1">
        <v>263</v>
      </c>
      <c r="B264" s="21" t="s">
        <v>265</v>
      </c>
      <c r="C264" s="2">
        <v>1501700160</v>
      </c>
      <c r="E264" t="str">
        <f>+_xlfn.XLOOKUP(Tabla1[[#This Row],[Codigo]],Hoja2!$D$2:$D$420,Hoja2!$C$2:$C$420)</f>
        <v>RIO MANZANARES ALERTAS - AUT   [1501700160; MAG; HID; LG; N; AO05; H10; JSOLANO; 50-05; IPWD; R24; ; ; ]</v>
      </c>
    </row>
    <row r="265" spans="1:5" x14ac:dyDescent="0.25">
      <c r="A265" s="1">
        <v>264</v>
      </c>
      <c r="B265" s="21" t="s">
        <v>266</v>
      </c>
      <c r="C265" s="2">
        <v>28025120</v>
      </c>
      <c r="E265" t="str">
        <f>+_xlfn.XLOOKUP(Tabla1[[#This Row],[Codigo]],Hoja2!$D$2:$D$420,Hoja2!$C$2:$C$420)</f>
        <v>SERRANIA DEL PERIJA  - AUT [28025120; CES; MET; INMARSAT; AO05; FONDO ADAPTACION]</v>
      </c>
    </row>
    <row r="266" spans="1:5" x14ac:dyDescent="0.25">
      <c r="A266" s="1">
        <v>265</v>
      </c>
      <c r="B266" s="21" t="s">
        <v>267</v>
      </c>
      <c r="C266" s="2">
        <v>15015060</v>
      </c>
      <c r="E266" t="str">
        <f>+_xlfn.XLOOKUP(Tabla1[[#This Row],[Codigo]],Hoja2!$D$2:$D$420,Hoja2!$C$2:$C$420)</f>
        <v>SAN LORENZO  - AUT [15015060; AO05; FONDO ADAPTACION]</v>
      </c>
    </row>
    <row r="267" spans="1:5" x14ac:dyDescent="0.25">
      <c r="A267" s="1">
        <v>266</v>
      </c>
      <c r="B267" s="21" t="s">
        <v>268</v>
      </c>
      <c r="C267" s="2">
        <v>35075080</v>
      </c>
      <c r="E267" t="str">
        <f>+_xlfn.XLOOKUP(Tabla1[[#This Row],[Codigo]],Hoja2!$D$2:$D$420,Hoja2!$C$2:$C$420)</f>
        <v>PARAMO RABANAL - AUT [35075080; AO06; MET; INMARSAT; FONDO ADAPTACION]</v>
      </c>
    </row>
    <row r="268" spans="1:5" x14ac:dyDescent="0.25">
      <c r="A268" s="3">
        <v>267</v>
      </c>
      <c r="B268" s="21" t="s">
        <v>269</v>
      </c>
      <c r="C268" s="2">
        <v>23125160</v>
      </c>
      <c r="E268" t="e">
        <f>+_xlfn.XLOOKUP(Tabla1[[#This Row],[Codigo]],Hoja2!$D$2:$D$420,Hoja2!$C$2:$C$420)</f>
        <v>#N/A</v>
      </c>
    </row>
    <row r="269" spans="1:5" x14ac:dyDescent="0.25">
      <c r="A269" s="1">
        <v>268</v>
      </c>
      <c r="B269" s="21" t="s">
        <v>270</v>
      </c>
      <c r="C269" s="2">
        <v>36015020</v>
      </c>
      <c r="E269" t="str">
        <f>+_xlfn.XLOOKUP(Tabla1[[#This Row],[Codigo]],Hoja2!$D$2:$D$420,Hoja2!$C$2:$C$420)</f>
        <v>EL DIAMANTE - AUT [36015020; CAS; MET; INMARSAT; AO06; FONDO ADAPTACION]</v>
      </c>
    </row>
    <row r="270" spans="1:5" x14ac:dyDescent="0.25">
      <c r="A270" s="1">
        <v>269</v>
      </c>
      <c r="B270" s="21" t="s">
        <v>271</v>
      </c>
      <c r="C270" s="2">
        <v>2403500083</v>
      </c>
      <c r="E270" t="e">
        <f>+_xlfn.XLOOKUP(Tabla1[[#This Row],[Codigo]],Hoja2!$D$2:$D$420,Hoja2!$C$2:$C$420)</f>
        <v>#N/A</v>
      </c>
    </row>
    <row r="271" spans="1:5" x14ac:dyDescent="0.25">
      <c r="A271" s="1">
        <v>270</v>
      </c>
      <c r="B271" s="21" t="s">
        <v>272</v>
      </c>
      <c r="C271" s="2">
        <v>2403500085</v>
      </c>
      <c r="E271" t="str">
        <f>+_xlfn.XLOOKUP(Tabla1[[#This Row],[Codigo]],Hoja2!$D$2:$D$420,Hoja2!$C$2:$C$420)</f>
        <v>SUSA - AUT [2403500085; BOY; MET; INMARSAT; AO06; FONDO ADAPTACION]</v>
      </c>
    </row>
    <row r="272" spans="1:5" x14ac:dyDescent="0.25">
      <c r="A272" s="1">
        <v>271</v>
      </c>
      <c r="B272" s="21" t="s">
        <v>273</v>
      </c>
      <c r="C272" s="4">
        <v>24030140</v>
      </c>
      <c r="E272" t="str">
        <f>+_xlfn.XLOOKUP(Tabla1[[#This Row],[Codigo]],Hoja2!$D$2:$D$420,Hoja2!$C$2:$C$420)</f>
        <v>SIACHOQUE [24030140; BOY; MET;  AO06; FONDO ADAPTACION]</v>
      </c>
    </row>
    <row r="273" spans="1:5" x14ac:dyDescent="0.25">
      <c r="A273" s="1">
        <v>272</v>
      </c>
      <c r="B273" s="21" t="s">
        <v>274</v>
      </c>
      <c r="C273" s="2">
        <v>2403500084</v>
      </c>
      <c r="E273" t="e">
        <f>+_xlfn.XLOOKUP(Tabla1[[#This Row],[Codigo]],Hoja2!$D$2:$D$420,Hoja2!$C$2:$C$420)</f>
        <v>#N/A</v>
      </c>
    </row>
    <row r="274" spans="1:5" x14ac:dyDescent="0.25">
      <c r="A274" s="1">
        <v>273</v>
      </c>
      <c r="B274" s="21" t="s">
        <v>275</v>
      </c>
      <c r="C274" s="2">
        <v>3507500046</v>
      </c>
      <c r="E274" t="str">
        <f>+_xlfn.XLOOKUP(Tabla1[[#This Row],[Codigo]],Hoja2!$D$2:$D$420,Hoja2!$C$2:$C$420)</f>
        <v>GRANJA GUAYATA - AUT   [3507500046;; MET; AO06; FONDO ADAPTACION]</v>
      </c>
    </row>
    <row r="275" spans="1:5" x14ac:dyDescent="0.25">
      <c r="A275" s="3">
        <v>274</v>
      </c>
      <c r="B275" s="21" t="s">
        <v>276</v>
      </c>
      <c r="C275" s="2">
        <v>3518500127</v>
      </c>
      <c r="E275" t="str">
        <f>+_xlfn.XLOOKUP(Tabla1[[#This Row],[Codigo]],Hoja2!$D$2:$D$420,Hoja2!$C$2:$C$420)</f>
        <v>GUADUALITO - AUT [3518500127; MET;  AO06; CAMPBELL]</v>
      </c>
    </row>
    <row r="276" spans="1:5" x14ac:dyDescent="0.25">
      <c r="A276" s="1">
        <v>275</v>
      </c>
      <c r="B276" s="21" t="s">
        <v>277</v>
      </c>
      <c r="C276" s="2">
        <v>3518700145</v>
      </c>
      <c r="E276" t="str">
        <f>+_xlfn.XLOOKUP(Tabla1[[#This Row],[Codigo]],Hoja2!$D$2:$D$420,Hoja2!$C$2:$C$420)</f>
        <v>TUA BALNEARIO - AUT [3518700145;CAS; HID; INMARSAT; AO06; FONDO ADAPTACION]</v>
      </c>
    </row>
    <row r="277" spans="1:5" x14ac:dyDescent="0.25">
      <c r="A277" s="1">
        <v>276</v>
      </c>
      <c r="B277" s="21" t="s">
        <v>278</v>
      </c>
      <c r="C277" s="2">
        <v>24037490</v>
      </c>
      <c r="E277" t="str">
        <f>+_xlfn.XLOOKUP(Tabla1[[#This Row],[Codigo]],Hoja2!$D$2:$D$420,Hoja2!$C$2:$C$420)</f>
        <v>PUENTE TOTUMO  - AUT [24037490; AO06; HID;  FONDO ADAPTACION]</v>
      </c>
    </row>
    <row r="278" spans="1:5" x14ac:dyDescent="0.25">
      <c r="A278" s="1">
        <v>277</v>
      </c>
      <c r="B278" s="21" t="s">
        <v>279</v>
      </c>
      <c r="C278" s="2">
        <v>24037080</v>
      </c>
      <c r="E278" t="str">
        <f>+_xlfn.XLOOKUP(Tabla1[[#This Row],[Codigo]],Hoja2!$D$2:$D$420,Hoja2!$C$2:$C$420)</f>
        <v>LA GRUTA  - AUT [24037080; AO06; HID;  FONDO ADAPTACION]</v>
      </c>
    </row>
    <row r="279" spans="1:5" x14ac:dyDescent="0.25">
      <c r="A279" s="1">
        <v>278</v>
      </c>
      <c r="B279" s="21" t="s">
        <v>280</v>
      </c>
      <c r="C279" s="2">
        <v>24025030</v>
      </c>
      <c r="E279" t="str">
        <f>+_xlfn.XLOOKUP(Tabla1[[#This Row],[Codigo]],Hoja2!$D$2:$D$420,Hoja2!$C$2:$C$420)</f>
        <v>LA SIERRA - AUT [24025030; BOY; MET; AO06; FONDO ADAPTACION]</v>
      </c>
    </row>
    <row r="280" spans="1:5" x14ac:dyDescent="0.25">
      <c r="A280" s="1">
        <v>279</v>
      </c>
      <c r="B280" s="21" t="s">
        <v>281</v>
      </c>
      <c r="C280" s="2">
        <v>24035380</v>
      </c>
      <c r="E280" t="str">
        <f>+_xlfn.XLOOKUP(Tabla1[[#This Row],[Codigo]],Hoja2!$D$2:$D$420,Hoja2!$C$2:$C$420)</f>
        <v>NEVADO DEL COCUY - AUT [24035380; AO06; MET; INMARSAT;  FONDO ADAPTACION]</v>
      </c>
    </row>
    <row r="281" spans="1:5" x14ac:dyDescent="0.25">
      <c r="A281" s="1">
        <v>280</v>
      </c>
      <c r="B281" s="21" t="s">
        <v>282</v>
      </c>
      <c r="C281" s="2">
        <v>3507500133</v>
      </c>
      <c r="E281" t="e">
        <f>+_xlfn.XLOOKUP(Tabla1[[#This Row],[Codigo]],Hoja2!$D$2:$D$420,Hoja2!$C$2:$C$420)</f>
        <v>#N/A</v>
      </c>
    </row>
    <row r="282" spans="1:5" x14ac:dyDescent="0.25">
      <c r="A282" s="3">
        <v>281</v>
      </c>
      <c r="B282" s="21" t="s">
        <v>283</v>
      </c>
      <c r="C282" s="2">
        <v>52055150</v>
      </c>
      <c r="E282" t="str">
        <f>+_xlfn.XLOOKUP(Tabla1[[#This Row],[Codigo]],Hoja2!$D$2:$D$420,Hoja2!$C$2:$C$420)</f>
        <v>CERRO PARAMO  - AUT [52055150;AO 07;FONDO ADAPTACIÓN]</v>
      </c>
    </row>
    <row r="283" spans="1:5" x14ac:dyDescent="0.25">
      <c r="A283" s="1">
        <v>282</v>
      </c>
      <c r="B283" s="21" t="s">
        <v>284</v>
      </c>
      <c r="C283" s="2">
        <v>52047020</v>
      </c>
      <c r="E283" t="str">
        <f>+_xlfn.XLOOKUP(Tabla1[[#This Row],[Codigo]],Hoja2!$D$2:$D$420,Hoja2!$C$2:$C$420)</f>
        <v>PUENTE JUANAMBU  - AUT [52047020; AO07; FONDO ADAPTACION]</v>
      </c>
    </row>
    <row r="284" spans="1:5" x14ac:dyDescent="0.25">
      <c r="A284" s="1">
        <v>283</v>
      </c>
      <c r="B284" s="21" t="s">
        <v>285</v>
      </c>
      <c r="C284" s="2">
        <v>52017001</v>
      </c>
      <c r="E284" t="str">
        <f>+_xlfn.XLOOKUP(Tabla1[[#This Row],[Codigo]],Hoja2!$D$2:$D$420,Hoja2!$C$2:$C$420)</f>
        <v>PUERTO NUEVO PATIA - AUT [52017001;AO07;FONDO ADAPTACION]</v>
      </c>
    </row>
    <row r="285" spans="1:5" x14ac:dyDescent="0.25">
      <c r="A285" s="1">
        <v>284</v>
      </c>
      <c r="B285" s="21" t="s">
        <v>286</v>
      </c>
      <c r="C285" s="2">
        <v>52020070</v>
      </c>
      <c r="E285" t="str">
        <f>+_xlfn.XLOOKUP(Tabla1[[#This Row],[Codigo]],Hoja2!$D$2:$D$420,Hoja2!$C$2:$C$420)</f>
        <v>SANTIAGO - AUT   [52020070; AO07;]</v>
      </c>
    </row>
    <row r="286" spans="1:5" x14ac:dyDescent="0.25">
      <c r="A286" s="1">
        <v>285</v>
      </c>
      <c r="B286" s="21" t="s">
        <v>287</v>
      </c>
      <c r="C286" s="2">
        <v>5102500128</v>
      </c>
      <c r="E286" t="str">
        <f>+_xlfn.XLOOKUP(Tabla1[[#This Row],[Codigo]],Hoja2!$D$2:$D$420,Hoja2!$C$2:$C$420)</f>
        <v>RESERVA NATURAL LA PLANADA - AUT   [5102500128; AO 07; FONDO ADAPTACIÓN]</v>
      </c>
    </row>
    <row r="287" spans="1:5" x14ac:dyDescent="0.25">
      <c r="A287" s="1">
        <v>286</v>
      </c>
      <c r="B287" s="21" t="s">
        <v>288</v>
      </c>
      <c r="C287" s="2">
        <v>47017170</v>
      </c>
      <c r="E287" t="str">
        <f>+_xlfn.XLOOKUP(Tabla1[[#This Row],[Codigo]],Hoja2!$D$2:$D$420,Hoja2!$C$2:$C$420)</f>
        <v>PICUDO EL [47017170; AO 07;FONDO ADAPTACION]</v>
      </c>
    </row>
    <row r="288" spans="1:5" x14ac:dyDescent="0.25">
      <c r="A288" s="3">
        <v>287</v>
      </c>
      <c r="B288" s="21" t="s">
        <v>289</v>
      </c>
      <c r="C288" s="2">
        <v>53045040</v>
      </c>
      <c r="E288" t="str">
        <f>+_xlfn.XLOOKUP(Tabla1[[#This Row],[Codigo]],Hoja2!$D$2:$D$420,Hoja2!$C$2:$C$420)</f>
        <v>AEROPUERTO GUAPI - AUT [53045040;AO 07;FONDO ADAPTACION]</v>
      </c>
    </row>
    <row r="289" spans="1:5" x14ac:dyDescent="0.25">
      <c r="A289" s="1">
        <v>288</v>
      </c>
      <c r="B289" s="21" t="s">
        <v>290</v>
      </c>
      <c r="C289" s="2">
        <v>47017110</v>
      </c>
      <c r="E289" t="str">
        <f>+_xlfn.XLOOKUP(Tabla1[[#This Row],[Codigo]],Hoja2!$D$2:$D$420,Hoja2!$C$2:$C$420)</f>
        <v>MONOPAMBA  - AUT [47017110; AO07; FONDO ADAPTACION]</v>
      </c>
    </row>
    <row r="290" spans="1:5" x14ac:dyDescent="0.25">
      <c r="A290" s="1">
        <v>289</v>
      </c>
      <c r="B290" s="21" t="s">
        <v>291</v>
      </c>
      <c r="C290" s="2">
        <v>52055160</v>
      </c>
      <c r="E290" s="27" t="str">
        <f>+_xlfn.XLOOKUP(Tabla1[[#This Row],[Codigo]],Hoja2!$D$2:$D$420,Hoja2!$C$2:$C$420)</f>
        <v>C_VOLCAN CHILES  - AUT [52055160; AO07; FONDO ADAPTACION]</v>
      </c>
    </row>
    <row r="291" spans="1:5" x14ac:dyDescent="0.25">
      <c r="A291" s="1">
        <v>290</v>
      </c>
      <c r="B291" s="21" t="s">
        <v>292</v>
      </c>
      <c r="C291" s="2">
        <v>44017070</v>
      </c>
      <c r="E291" t="str">
        <f>+_xlfn.XLOOKUP(Tabla1[[#This Row],[Codigo]],Hoja2!$D$2:$D$420,Hoja2!$C$2:$C$420)</f>
        <v>SANTA ROSA  - AUT [44017070; CAU; HID; INMARSAT; AO07; FONDO ADAPTACION]</v>
      </c>
    </row>
    <row r="292" spans="1:5" x14ac:dyDescent="0.25">
      <c r="A292" s="1">
        <v>291</v>
      </c>
      <c r="B292" s="21" t="s">
        <v>293</v>
      </c>
      <c r="C292" s="2">
        <v>16027300</v>
      </c>
      <c r="E292" t="str">
        <f>+_xlfn.XLOOKUP(Tabla1[[#This Row],[Codigo]],Hoja2!$D$2:$D$420,Hoja2!$C$2:$C$420)</f>
        <v>PUENTE CAPIRA - AUT [16027300; NDS; HID; INMARSAT; AO08; FONDO ADAPTACION]</v>
      </c>
    </row>
    <row r="293" spans="1:5" x14ac:dyDescent="0.25">
      <c r="A293" s="1">
        <v>292</v>
      </c>
      <c r="B293" s="21" t="s">
        <v>294</v>
      </c>
      <c r="C293" s="2">
        <v>24035390</v>
      </c>
      <c r="E293" t="str">
        <f>+_xlfn.XLOOKUP(Tabla1[[#This Row],[Codigo]],Hoja2!$D$2:$D$420,Hoja2!$C$2:$C$420)</f>
        <v>PARAMO ALMORZADERO  - AUT [24035390; SAN; MET; INMARSAT; AO08; FONDO ADAPTACION]</v>
      </c>
    </row>
    <row r="294" spans="1:5" x14ac:dyDescent="0.25">
      <c r="A294" s="1">
        <v>293</v>
      </c>
      <c r="B294" s="21" t="s">
        <v>295</v>
      </c>
      <c r="C294" s="2">
        <v>37057020</v>
      </c>
      <c r="E294" t="str">
        <f>+_xlfn.XLOOKUP(Tabla1[[#This Row],[Codigo]],Hoja2!$D$2:$D$420,Hoja2!$C$2:$C$420)</f>
        <v>ALCARAVAN  AUT [37057020; ARA; HID; INMARSAT: AO08; FONDO ADAPTACION]</v>
      </c>
    </row>
    <row r="295" spans="1:5" x14ac:dyDescent="0.25">
      <c r="A295" s="3">
        <v>294</v>
      </c>
      <c r="B295" s="21" t="s">
        <v>296</v>
      </c>
      <c r="C295" s="2">
        <v>24030950</v>
      </c>
      <c r="E295" t="str">
        <f>+_xlfn.XLOOKUP(Tabla1[[#This Row],[Codigo]],Hoja2!$D$2:$D$420,Hoja2!$C$2:$C$420)</f>
        <v>MALAGA 2 [24030950; SAN; MET; PG; ROC; AO08; H7; DOSPINA; 55-5; IPWD; R24;FNCM; ;  ]</v>
      </c>
    </row>
    <row r="296" spans="1:5" x14ac:dyDescent="0.25">
      <c r="A296" s="1">
        <v>295</v>
      </c>
      <c r="B296" s="21" t="s">
        <v>297</v>
      </c>
      <c r="C296" s="2">
        <v>16057040</v>
      </c>
      <c r="E296" t="str">
        <f>+_xlfn.XLOOKUP(Tabla1[[#This Row],[Codigo]],Hoja2!$D$2:$D$420,Hoja2!$C$2:$C$420)</f>
        <v>QUINCE LETRAS - AUT [16057040; NDS; HID; INMARSAT; AO08; FONDO ADAPTACION]</v>
      </c>
    </row>
    <row r="297" spans="1:5" x14ac:dyDescent="0.25">
      <c r="A297" s="1">
        <v>296</v>
      </c>
      <c r="B297" s="21" t="s">
        <v>298</v>
      </c>
      <c r="C297" s="2">
        <v>37027010</v>
      </c>
      <c r="E297" t="str">
        <f>+_xlfn.XLOOKUP(Tabla1[[#This Row],[Codigo]],Hoja2!$D$2:$D$420,Hoja2!$C$2:$C$420)</f>
        <v>PEÑA DE LOS MICOS - AUT [37027010; NDS; HID; INMARSAT; AO08; FONDO ADAPTACION]</v>
      </c>
    </row>
    <row r="298" spans="1:5" x14ac:dyDescent="0.25">
      <c r="A298" s="1">
        <v>297</v>
      </c>
      <c r="B298" s="21" t="s">
        <v>299</v>
      </c>
      <c r="C298" s="2">
        <v>37017040</v>
      </c>
      <c r="E298" t="str">
        <f>+_xlfn.XLOOKUP(Tabla1[[#This Row],[Codigo]],Hoja2!$D$2:$D$420,Hoja2!$C$2:$C$420)</f>
        <v>PUENTE LOPEZ - AUT [37017040; NDS; HID; INMARSAT; AO08; FONDO ADAPTACION]</v>
      </c>
    </row>
    <row r="299" spans="1:5" x14ac:dyDescent="0.25">
      <c r="A299" s="1">
        <v>298</v>
      </c>
      <c r="B299" s="21" t="s">
        <v>300</v>
      </c>
      <c r="C299" s="2">
        <v>1602500063</v>
      </c>
      <c r="E299" t="str">
        <f>+_xlfn.XLOOKUP(Tabla1[[#This Row],[Codigo]],Hoja2!$D$2:$D$420,Hoja2!$C$2:$C$420)</f>
        <v>MUTISCUA - AUT [1602500063; NDS; MET; INMARSAT; AO08; FONDO ADAPTACION]</v>
      </c>
    </row>
    <row r="300" spans="1:5" x14ac:dyDescent="0.25">
      <c r="A300" s="1">
        <v>299</v>
      </c>
      <c r="B300" s="21" t="s">
        <v>301</v>
      </c>
      <c r="C300" s="2">
        <v>2401700091</v>
      </c>
      <c r="E300" t="str">
        <f>+_xlfn.XLOOKUP(Tabla1[[#This Row],[Codigo]],Hoja2!$D$2:$D$420,Hoja2!$C$2:$C$420)</f>
        <v>LAS MINAS - AUT   [2401700091;SAN;HID;LG;N;AO08;H8; GCAICEDO; 55-5; IPWD; R24;FNCM; ;]</v>
      </c>
    </row>
    <row r="301" spans="1:5" x14ac:dyDescent="0.25">
      <c r="A301" s="1">
        <v>300</v>
      </c>
      <c r="B301" s="21" t="s">
        <v>302</v>
      </c>
      <c r="C301" s="2">
        <v>2319500137</v>
      </c>
      <c r="E301" t="str">
        <f>+_xlfn.XLOOKUP(Tabla1[[#This Row],[Codigo]],Hoja2!$D$2:$D$420,Hoja2!$C$2:$C$420)</f>
        <v>VETAS - AUT   [2319500137; SAN; MET; CP; N; AO08; H10; GCAICEDO; 45-15; IPWD; R24; ; ; ]</v>
      </c>
    </row>
    <row r="302" spans="1:5" x14ac:dyDescent="0.25">
      <c r="A302" s="3">
        <v>301</v>
      </c>
      <c r="B302" s="21" t="s">
        <v>303</v>
      </c>
      <c r="C302" s="2">
        <v>3701500117</v>
      </c>
      <c r="E302" t="str">
        <f>+_xlfn.XLOOKUP(Tabla1[[#This Row],[Codigo]],Hoja2!$D$2:$D$420,Hoja2!$C$2:$C$420)</f>
        <v>EL PORTILLO - AUT   [3701500117; NDS; MET; CP; N; AO08; H6; OCARVAJAL; 0; IPWD; R24; FNCM; ; ]</v>
      </c>
    </row>
    <row r="303" spans="1:5" x14ac:dyDescent="0.25">
      <c r="A303" s="1">
        <v>302</v>
      </c>
      <c r="B303" s="21" t="s">
        <v>304</v>
      </c>
      <c r="C303" s="2">
        <v>16027280</v>
      </c>
      <c r="E303" t="str">
        <f>+_xlfn.XLOOKUP(Tabla1[[#This Row],[Codigo]],Hoja2!$D$2:$D$420,Hoja2!$C$2:$C$420)</f>
        <v>ASTILLEROS - AUT [16027280; NDS; HID; INMARSAT; AO08; FONDO ADAPTACION]</v>
      </c>
    </row>
    <row r="304" spans="1:5" x14ac:dyDescent="0.25">
      <c r="A304" s="1">
        <v>303</v>
      </c>
      <c r="B304" s="21" t="s">
        <v>305</v>
      </c>
      <c r="C304" s="2">
        <v>1605700152</v>
      </c>
      <c r="E304" t="str">
        <f>+_xlfn.XLOOKUP(Tabla1[[#This Row],[Codigo]],Hoja2!$D$2:$D$420,Hoja2!$C$2:$C$420)</f>
        <v>PALO GRANDE - AUT   [1605700152;NDS;HID;LG;N;AO08;H8; GCAICEDO; 40-10; IPWD; R24;FNCM;5.8.8; ]</v>
      </c>
    </row>
    <row r="305" spans="1:5" x14ac:dyDescent="0.25">
      <c r="A305" s="1">
        <v>304</v>
      </c>
      <c r="B305" s="21" t="s">
        <v>306</v>
      </c>
      <c r="C305" s="2">
        <v>16040050</v>
      </c>
      <c r="E305" t="str">
        <f>+_xlfn.XLOOKUP(Tabla1[[#This Row],[Codigo]],Hoja2!$D$2:$D$420,Hoja2!$C$2:$C$420)</f>
        <v>LA MARIA - AUT [16040050; NDS; MET; INMARSAT; AO08; FONDO ADAPTACION]</v>
      </c>
    </row>
    <row r="306" spans="1:5" x14ac:dyDescent="0.25">
      <c r="A306" s="1">
        <v>305</v>
      </c>
      <c r="B306" s="21" t="s">
        <v>307</v>
      </c>
      <c r="C306" s="2">
        <v>16015130</v>
      </c>
      <c r="E306" t="str">
        <f>+_xlfn.XLOOKUP(Tabla1[[#This Row],[Codigo]],Hoja2!$D$2:$D$420,Hoja2!$C$2:$C$420)</f>
        <v>ALCALDIA DE HERRAN  - AUT [16015130; NDS; MET; INMARSAT; AO08; FONDO ADAPTACION]</v>
      </c>
    </row>
    <row r="307" spans="1:5" x14ac:dyDescent="0.25">
      <c r="A307" s="1">
        <v>306</v>
      </c>
      <c r="B307" s="21" t="s">
        <v>308</v>
      </c>
      <c r="C307" s="2">
        <v>24030680</v>
      </c>
      <c r="E307" t="str">
        <f>+_xlfn.XLOOKUP(Tabla1[[#This Row],[Codigo]],Hoja2!$D$2:$D$420,Hoja2!$C$2:$C$420)</f>
        <v>EL PARAMO - AUT [24030680; SAN; MET; CP; N; AO08; H7; DOSPINA; 0; IPWD; R24;FNCM; ; ]</v>
      </c>
    </row>
    <row r="308" spans="1:5" x14ac:dyDescent="0.25">
      <c r="A308" s="3">
        <v>307</v>
      </c>
      <c r="B308" s="21" t="s">
        <v>309</v>
      </c>
      <c r="C308" s="2">
        <v>26095320</v>
      </c>
      <c r="E308" t="str">
        <f>+_xlfn.XLOOKUP(Tabla1[[#This Row],[Codigo]],Hoja2!$D$2:$D$420,Hoja2!$C$2:$C$420)</f>
        <v>EL VINCULO - AUT [26095320]</v>
      </c>
    </row>
    <row r="309" spans="1:5" x14ac:dyDescent="0.25">
      <c r="A309" s="1">
        <v>308</v>
      </c>
      <c r="B309" s="21" t="s">
        <v>310</v>
      </c>
      <c r="C309" s="2">
        <v>26135320</v>
      </c>
      <c r="E309" t="str">
        <f>+_xlfn.XLOOKUP(Tabla1[[#This Row],[Codigo]],Hoja2!$D$2:$D$420,Hoja2!$C$2:$C$420)</f>
        <v>NEVADO SANTA ISABEL  - AUT [26135320; CAL; MET; INMARSAT; AO09; FONDO ADAPTACION]</v>
      </c>
    </row>
    <row r="310" spans="1:5" x14ac:dyDescent="0.25">
      <c r="A310" s="1">
        <v>309</v>
      </c>
      <c r="B310" s="21" t="s">
        <v>311</v>
      </c>
      <c r="C310" s="2">
        <v>26135300</v>
      </c>
      <c r="E310" t="str">
        <f>+_xlfn.XLOOKUP(Tabla1[[#This Row],[Codigo]],Hoja2!$D$2:$D$420,Hoja2!$C$2:$C$420)</f>
        <v>PNN QUIMBAYA - AUT [26135300; RIS; MET; GPRS; AO09; FONDO ADAPTACION]</v>
      </c>
    </row>
    <row r="311" spans="1:5" x14ac:dyDescent="0.25">
      <c r="A311" s="1">
        <v>310</v>
      </c>
      <c r="B311" s="21" t="s">
        <v>312</v>
      </c>
      <c r="C311" s="2">
        <v>26155240</v>
      </c>
      <c r="E311" t="str">
        <f>+_xlfn.XLOOKUP(Tabla1[[#This Row],[Codigo]],Hoja2!$D$2:$D$420,Hoja2!$C$2:$C$420)</f>
        <v>PNN NEVADOS - AUT [26155240; CAL; MET; INMARSAT; AO09; FONDO ADAPTACION]</v>
      </c>
    </row>
    <row r="312" spans="1:5" x14ac:dyDescent="0.25">
      <c r="A312" s="1">
        <v>311</v>
      </c>
      <c r="B312" s="21" t="s">
        <v>313</v>
      </c>
      <c r="C312" s="2">
        <v>26145090</v>
      </c>
      <c r="E312" t="str">
        <f>+_xlfn.XLOOKUP(Tabla1[[#This Row],[Codigo]],Hoja2!$D$2:$D$420,Hoja2!$C$2:$C$420)</f>
        <v>SANTA EMILIA - AUT [26145090; RIS; MET; INMARSAT; AO09; FONDO ADAPTACION]</v>
      </c>
    </row>
    <row r="313" spans="1:5" x14ac:dyDescent="0.25">
      <c r="A313" s="1">
        <v>312</v>
      </c>
      <c r="B313" s="21" t="s">
        <v>314</v>
      </c>
      <c r="C313" s="2">
        <v>54017040</v>
      </c>
      <c r="E313" t="str">
        <f>+_xlfn.XLOOKUP(Tabla1[[#This Row],[Codigo]],Hoja2!$D$2:$D$420,Hoja2!$C$2:$C$420)</f>
        <v>TADO - AUT [54017040; CHO; HID; GPRS; AO09; FONDO ADAPTACION]</v>
      </c>
    </row>
    <row r="314" spans="1:5" x14ac:dyDescent="0.25">
      <c r="A314" s="1">
        <v>313</v>
      </c>
      <c r="B314" s="21" t="s">
        <v>315</v>
      </c>
      <c r="C314" s="2">
        <v>26157200</v>
      </c>
      <c r="E314" t="str">
        <f>+_xlfn.XLOOKUP(Tabla1[[#This Row],[Codigo]],Hoja2!$D$2:$D$420,Hoja2!$C$2:$C$420)</f>
        <v>SIETECUERALES - AUT [26157200; CAL; HID; INMARSAT; AO09; FONDO ADAPTACION]</v>
      </c>
    </row>
    <row r="315" spans="1:5" x14ac:dyDescent="0.25">
      <c r="A315" s="3">
        <v>314</v>
      </c>
      <c r="B315" s="21" t="s">
        <v>316</v>
      </c>
      <c r="C315" s="2">
        <v>26015050</v>
      </c>
      <c r="E315" t="str">
        <f>+_xlfn.XLOOKUP(Tabla1[[#This Row],[Codigo]],Hoja2!$D$2:$D$420,Hoja2!$C$2:$C$420)</f>
        <v>PALETARA  - AUT [26015050;CAU; MET; INMARSAT; AO09; FONDO ADAPTACION]</v>
      </c>
    </row>
    <row r="316" spans="1:5" x14ac:dyDescent="0.25">
      <c r="A316" s="1">
        <v>315</v>
      </c>
      <c r="B316" s="21" t="s">
        <v>317</v>
      </c>
      <c r="C316" s="2">
        <v>26055110</v>
      </c>
      <c r="E316" t="str">
        <f>+_xlfn.XLOOKUP(Tabla1[[#This Row],[Codigo]],Hoja2!$D$2:$D$420,Hoja2!$C$2:$C$420)</f>
        <v>LA INDEPENDENCIA - AUT [26055110; VDC; MET; GPRS; AO09; FONDO ADAPTACION]</v>
      </c>
    </row>
    <row r="317" spans="1:5" x14ac:dyDescent="0.25">
      <c r="A317" s="1">
        <v>316</v>
      </c>
      <c r="B317" s="21" t="s">
        <v>318</v>
      </c>
      <c r="C317" s="2">
        <v>54015010</v>
      </c>
      <c r="E317" t="str">
        <f>+_xlfn.XLOOKUP(Tabla1[[#This Row],[Codigo]],Hoja2!$D$2:$D$420,Hoja2!$C$2:$C$420)</f>
        <v>PUEBLO RICO  - AUT [54015010; RIS; MET; INMARSAT; AO09; FONDO ADAPTACION]</v>
      </c>
    </row>
    <row r="318" spans="1:5" x14ac:dyDescent="0.25">
      <c r="A318" s="1">
        <v>317</v>
      </c>
      <c r="B318" s="21" t="s">
        <v>319</v>
      </c>
      <c r="C318" s="2">
        <v>26157170</v>
      </c>
      <c r="E318" t="str">
        <f>+_xlfn.XLOOKUP(Tabla1[[#This Row],[Codigo]],Hoja2!$D$2:$D$420,Hoja2!$C$2:$C$420)</f>
        <v>CONEJERAS2 - AUT [26157170]</v>
      </c>
    </row>
    <row r="319" spans="1:5" x14ac:dyDescent="0.25">
      <c r="A319" s="1">
        <v>318</v>
      </c>
      <c r="B319" s="21" t="s">
        <v>320</v>
      </c>
      <c r="C319" s="2">
        <v>2601700104</v>
      </c>
      <c r="E319" t="str">
        <f>+_xlfn.XLOOKUP(Tabla1[[#This Row],[Codigo]],Hoja2!$D$2:$D$420,Hoja2!$C$2:$C$420)</f>
        <v>MOLINOS - AUT [2601700104; AO 09; HID; GPRS; FONDO ADAPTACION]</v>
      </c>
    </row>
    <row r="320" spans="1:5" x14ac:dyDescent="0.25">
      <c r="A320" s="1">
        <v>319</v>
      </c>
      <c r="B320" s="21" t="s">
        <v>321</v>
      </c>
      <c r="C320" s="2">
        <v>2615500122</v>
      </c>
      <c r="E320" t="str">
        <f>+_xlfn.XLOOKUP(Tabla1[[#This Row],[Codigo]],Hoja2!$D$2:$D$420,Hoja2!$C$2:$C$420)</f>
        <v>LA ESPERANZA ANDALUCIA - AUT   [2615500122; GPRS; MET; AO09; FONDO DE ADAPTACION ]</v>
      </c>
    </row>
    <row r="321" spans="1:5" x14ac:dyDescent="0.25">
      <c r="A321" s="1">
        <v>320</v>
      </c>
      <c r="B321" s="21" t="s">
        <v>322</v>
      </c>
      <c r="C321" s="2">
        <v>5311700154</v>
      </c>
      <c r="E321" t="str">
        <f>+_xlfn.XLOOKUP(Tabla1[[#This Row],[Codigo]],Hoja2!$D$2:$D$420,Hoja2!$C$2:$C$420)</f>
        <v xml:space="preserve">PUENTE ZACARIAS - AUT   [5311700154; VDC; HID; LG; N; AO09; H9; GCAICEDO; 55-5; IPWD; R24; FNCM]  </v>
      </c>
    </row>
    <row r="322" spans="1:5" x14ac:dyDescent="0.25">
      <c r="A322" s="1">
        <v>321</v>
      </c>
      <c r="B322" s="21" t="s">
        <v>323</v>
      </c>
      <c r="C322" s="2">
        <v>26017060</v>
      </c>
      <c r="E322" t="str">
        <f>+_xlfn.XLOOKUP(Tabla1[[#This Row],[Codigo]],Hoja2!$D$2:$D$420,Hoja2!$C$2:$C$420)</f>
        <v>PUENTE ARAGON  - AUT [26017060; CAU; HID; INMARSAT; AO09; FONDO ADAPTACION]</v>
      </c>
    </row>
    <row r="323" spans="1:5" x14ac:dyDescent="0.25">
      <c r="A323" s="1">
        <v>322</v>
      </c>
      <c r="B323" s="21" t="s">
        <v>324</v>
      </c>
      <c r="C323" s="2">
        <v>26137220</v>
      </c>
      <c r="E323" t="str">
        <f>+_xlfn.XLOOKUP(Tabla1[[#This Row],[Codigo]],Hoja2!$D$2:$D$420,Hoja2!$C$2:$C$420)</f>
        <v>EL RETEN - AUT [26137220;GOES; AO09; FONDO ADAPTACION]</v>
      </c>
    </row>
    <row r="324" spans="1:5" x14ac:dyDescent="0.25">
      <c r="A324" s="1">
        <v>323</v>
      </c>
      <c r="B324" s="21" t="s">
        <v>325</v>
      </c>
      <c r="C324" s="2">
        <v>26105240</v>
      </c>
      <c r="E324" t="str">
        <f>+_xlfn.XLOOKUP(Tabla1[[#This Row],[Codigo]],Hoja2!$D$2:$D$420,Hoja2!$C$2:$C$420)</f>
        <v>EL PLACER - AUT [26105240; VDC; MET; GOES; AO09; FONDO ADAPTACION]</v>
      </c>
    </row>
    <row r="325" spans="1:5" x14ac:dyDescent="0.25">
      <c r="A325" s="3">
        <v>324</v>
      </c>
      <c r="B325" s="21" t="s">
        <v>326</v>
      </c>
      <c r="C325" s="2">
        <v>26135330</v>
      </c>
      <c r="E325" t="str">
        <f>+_xlfn.XLOOKUP(Tabla1[[#This Row],[Codigo]],Hoja2!$D$2:$D$420,Hoja2!$C$2:$C$420)</f>
        <v>LA LAGUNA DEL OTUN  - AUT [26135330; RIS; MET; INMARSAT; AO09; FONDO ADAPTACION]</v>
      </c>
    </row>
    <row r="326" spans="1:5" x14ac:dyDescent="0.25">
      <c r="A326" s="1">
        <v>325</v>
      </c>
      <c r="B326" s="21" t="s">
        <v>327</v>
      </c>
      <c r="C326" s="2">
        <v>26155250</v>
      </c>
      <c r="E326" t="str">
        <f>+_xlfn.XLOOKUP(Tabla1[[#This Row],[Codigo]],Hoja2!$D$2:$D$420,Hoja2!$C$2:$C$420)</f>
        <v>PARAMO CONEJERAS  - AUT [26155250; CAL; MET; INMARSAT; AO09; FONDO ADAPTACION]</v>
      </c>
    </row>
    <row r="327" spans="1:5" x14ac:dyDescent="0.25">
      <c r="A327" s="1">
        <v>326</v>
      </c>
      <c r="B327" s="21" t="s">
        <v>328</v>
      </c>
      <c r="C327" s="2">
        <v>26155270</v>
      </c>
      <c r="E327" t="str">
        <f>+_xlfn.XLOOKUP(Tabla1[[#This Row],[Codigo]],Hoja2!$D$2:$D$420,Hoja2!$C$2:$C$420)</f>
        <v>SAN ANTONIO CALDAS - AUT [26155270; CAL; MET; INMARSAT; AO09; FONDO ADAPTACION]</v>
      </c>
    </row>
    <row r="328" spans="1:5" x14ac:dyDescent="0.25">
      <c r="A328" s="1">
        <v>327</v>
      </c>
      <c r="B328" s="21" t="s">
        <v>329</v>
      </c>
      <c r="C328" s="2">
        <v>2611700158</v>
      </c>
      <c r="E328" t="str">
        <f>+_xlfn.XLOOKUP(Tabla1[[#This Row],[Codigo]],Hoja2!$D$2:$D$420,Hoja2!$C$2:$C$420)</f>
        <v>RIO FRIO - AUT   [2611700158;HID;AO09 ]</v>
      </c>
    </row>
    <row r="329" spans="1:5" x14ac:dyDescent="0.25">
      <c r="A329" s="1">
        <v>328</v>
      </c>
      <c r="B329" s="21" t="s">
        <v>330</v>
      </c>
      <c r="C329" s="2">
        <v>52017100</v>
      </c>
      <c r="E329" t="str">
        <f>+_xlfn.XLOOKUP(Tabla1[[#This Row],[Codigo]],Hoja2!$D$2:$D$420,Hoja2!$C$2:$C$420)</f>
        <v>PUENTE CARRETERA [52017100; AO 07; ORDEN PUBLICO]</v>
      </c>
    </row>
    <row r="330" spans="1:5" x14ac:dyDescent="0.25">
      <c r="A330" s="1">
        <v>329</v>
      </c>
      <c r="B330" s="21" t="s">
        <v>331</v>
      </c>
      <c r="C330" s="2">
        <v>26155150</v>
      </c>
      <c r="E330" t="str">
        <f>+_xlfn.XLOOKUP(Tabla1[[#This Row],[Codigo]],Hoja2!$D$2:$D$420,Hoja2!$C$2:$C$420)</f>
        <v>LAS BRISAS - AUT [26155150; CAL; MET;WIFI; AO09; FONDO ADAPTACION]</v>
      </c>
    </row>
    <row r="331" spans="1:5" x14ac:dyDescent="0.25">
      <c r="A331" s="1">
        <v>330</v>
      </c>
      <c r="B331" s="21" t="s">
        <v>332</v>
      </c>
      <c r="C331" s="2">
        <v>26015030</v>
      </c>
      <c r="E331" t="str">
        <f>+_xlfn.XLOOKUP(Tabla1[[#This Row],[Codigo]],Hoja2!$D$2:$D$420,Hoja2!$C$2:$C$420)</f>
        <v>PNN PURACE - AUT [26015030; AO09; FONDO ADAPTACION]</v>
      </c>
    </row>
    <row r="332" spans="1:5" x14ac:dyDescent="0.25">
      <c r="A332" s="1">
        <v>331</v>
      </c>
      <c r="B332" s="21" t="s">
        <v>333</v>
      </c>
      <c r="C332" s="2">
        <v>21167080</v>
      </c>
      <c r="E332" t="str">
        <f>+_xlfn.XLOOKUP(Tabla1[[#This Row],[Codigo]],Hoja2!$D$2:$D$420,Hoja2!$C$2:$C$420)</f>
        <v>LA MORA - AUT [21167080; TOL; HID; INMARSAT; AO10; FONDO ADAPTACION]</v>
      </c>
    </row>
    <row r="333" spans="1:5" x14ac:dyDescent="0.25">
      <c r="A333" s="1">
        <v>332</v>
      </c>
      <c r="B333" s="21" t="s">
        <v>334</v>
      </c>
      <c r="C333" s="2">
        <v>22075050</v>
      </c>
      <c r="E333" t="str">
        <f>+_xlfn.XLOOKUP(Tabla1[[#This Row],[Codigo]],Hoja2!$D$2:$D$420,Hoja2!$C$2:$C$420)</f>
        <v>PARAMO DE YERBABUENA  - AUT [22075050; TOL; MET; INMARSAT; AO10; FONDO ADAPTACION]</v>
      </c>
    </row>
    <row r="334" spans="1:5" x14ac:dyDescent="0.25">
      <c r="A334" s="1">
        <v>333</v>
      </c>
      <c r="B334" s="21" t="s">
        <v>335</v>
      </c>
      <c r="C334" s="2">
        <v>22057010</v>
      </c>
      <c r="E334" t="str">
        <f>+_xlfn.XLOOKUP(Tabla1[[#This Row],[Codigo]],Hoja2!$D$2:$D$420,Hoja2!$C$2:$C$420)</f>
        <v>PIEDRAS DE COBRE  - AUT [22057010; TOL; HID; INMARSAT; AO10; FONDO ADAPTACION]</v>
      </c>
    </row>
    <row r="335" spans="1:5" x14ac:dyDescent="0.25">
      <c r="A335" s="1">
        <v>334</v>
      </c>
      <c r="B335" s="21" t="s">
        <v>336</v>
      </c>
      <c r="C335" s="2">
        <v>21255160</v>
      </c>
      <c r="E335" t="str">
        <f>+_xlfn.XLOOKUP(Tabla1[[#This Row],[Codigo]],Hoja2!$D$2:$D$420,Hoja2!$C$2:$C$420)</f>
        <v>HACIENDA PAJONALES [21255160; TOL; MET; INMARSAT; AO10; FONDO ADAPTACION]</v>
      </c>
    </row>
    <row r="336" spans="1:5" x14ac:dyDescent="0.25">
      <c r="A336" s="1">
        <v>335</v>
      </c>
      <c r="B336" s="21" t="s">
        <v>337</v>
      </c>
      <c r="C336" s="2">
        <v>23087210</v>
      </c>
      <c r="E336" t="str">
        <f>+_xlfn.XLOOKUP(Tabla1[[#This Row],[Codigo]],Hoja2!$D$2:$D$420,Hoja2!$C$2:$C$420)</f>
        <v>CANTERAS - AUT [23087210; ANT; HID; INMARSAT; AO10; FONDO ADAPTACION]</v>
      </c>
    </row>
    <row r="337" spans="1:5" x14ac:dyDescent="0.25">
      <c r="A337" s="1">
        <v>336</v>
      </c>
      <c r="B337" s="21" t="s">
        <v>338</v>
      </c>
      <c r="C337" s="2">
        <v>21167060</v>
      </c>
      <c r="E337" t="str">
        <f>+_xlfn.XLOOKUP(Tabla1[[#This Row],[Codigo]],Hoja2!$D$2:$D$420,Hoja2!$C$2:$C$420)</f>
        <v>SAN PABLO TOLIMA  - AUT [21167060; TOL; HID; INMARSAT; AO10; FONDO ADAPTACION]</v>
      </c>
    </row>
    <row r="338" spans="1:5" x14ac:dyDescent="0.25">
      <c r="A338" s="3">
        <v>337</v>
      </c>
      <c r="B338" s="21" t="s">
        <v>339</v>
      </c>
      <c r="C338" s="2">
        <v>23087230</v>
      </c>
      <c r="E338" t="str">
        <f>+_xlfn.XLOOKUP(Tabla1[[#This Row],[Codigo]],Hoja2!$D$2:$D$420,Hoja2!$C$2:$C$420)</f>
        <v>PUERTO BELLO  - AUT [23087230; ANT; HID; INMARSAT; AO10; FONDO ADAPTACION]</v>
      </c>
    </row>
    <row r="339" spans="1:5" x14ac:dyDescent="0.25">
      <c r="A339" s="1">
        <v>338</v>
      </c>
      <c r="B339" s="21" t="s">
        <v>340</v>
      </c>
      <c r="C339" s="2">
        <v>21187030</v>
      </c>
      <c r="E339" t="str">
        <f>+_xlfn.XLOOKUP(Tabla1[[#This Row],[Codigo]],Hoja2!$D$2:$D$420,Hoja2!$C$2:$C$420)</f>
        <v>CUCUNUBA  - AUT [21187030; TOL; HID; INMARSAT; AO10; FONDO ADAPTACION]</v>
      </c>
    </row>
    <row r="340" spans="1:5" x14ac:dyDescent="0.25">
      <c r="A340" s="1">
        <v>339</v>
      </c>
      <c r="B340" s="21" t="s">
        <v>341</v>
      </c>
      <c r="C340" s="2">
        <v>2202500051</v>
      </c>
      <c r="E340" t="str">
        <f>+_xlfn.XLOOKUP(Tabla1[[#This Row],[Codigo]],Hoja2!$D$2:$D$420,Hoja2!$C$2:$C$420)</f>
        <v>PLANADAS - AUT   [2202500051; TOL; MET; INMARSAT; AO10; FONDO ADAPTACION]</v>
      </c>
    </row>
    <row r="341" spans="1:5" x14ac:dyDescent="0.25">
      <c r="A341" s="1">
        <v>340</v>
      </c>
      <c r="B341" s="21" t="s">
        <v>342</v>
      </c>
      <c r="C341" s="2">
        <v>2121500042</v>
      </c>
      <c r="E341" t="str">
        <f>+_xlfn.XLOOKUP(Tabla1[[#This Row],[Codigo]],Hoja2!$D$2:$D$420,Hoja2!$C$2:$C$420)</f>
        <v>EL SILENCIO - AUT   [2121500042; TOL; MET; INMARSAT; AO10; FONDO ADAPTACION]</v>
      </c>
    </row>
    <row r="342" spans="1:5" x14ac:dyDescent="0.25">
      <c r="A342" s="1">
        <v>341</v>
      </c>
      <c r="B342" s="21" t="s">
        <v>343</v>
      </c>
      <c r="C342" s="2">
        <v>2119700147</v>
      </c>
      <c r="E342" t="str">
        <f>+_xlfn.XLOOKUP(Tabla1[[#This Row],[Codigo]],Hoja2!$D$2:$D$420,Hoja2!$C$2:$C$420)</f>
        <v>SAN MIGUEL [2119700147]</v>
      </c>
    </row>
    <row r="343" spans="1:5" x14ac:dyDescent="0.25">
      <c r="A343" s="1">
        <v>342</v>
      </c>
      <c r="B343" s="21" t="s">
        <v>344</v>
      </c>
      <c r="C343" s="2">
        <v>23067020</v>
      </c>
      <c r="E343" t="str">
        <f>+_xlfn.XLOOKUP(Tabla1[[#This Row],[Codigo]],Hoja2!$D$2:$D$420,Hoja2!$C$2:$C$420)</f>
        <v>COLORADOS  - AUT [23067020; CUN; HID; INMARSAT; AO10; FONDO ADAPTACION]</v>
      </c>
    </row>
    <row r="344" spans="1:5" x14ac:dyDescent="0.25">
      <c r="A344" s="1">
        <v>343</v>
      </c>
      <c r="B344" s="21" t="s">
        <v>345</v>
      </c>
      <c r="C344" s="2">
        <v>21215150</v>
      </c>
      <c r="E344" t="str">
        <f>+_xlfn.XLOOKUP(Tabla1[[#This Row],[Codigo]],Hoja2!$D$2:$D$420,Hoja2!$C$2:$C$420)</f>
        <v>NEVADO DEL TOLIMA  - AUT [21215150; TOL; MET; INMARSAT; AO10; FONDO ADAPTACION]</v>
      </c>
    </row>
    <row r="345" spans="1:5" x14ac:dyDescent="0.25">
      <c r="A345" s="3">
        <v>344</v>
      </c>
      <c r="B345" s="21" t="s">
        <v>346</v>
      </c>
      <c r="C345" s="2">
        <v>2125700094</v>
      </c>
      <c r="E345" t="str">
        <f>+_xlfn.XLOOKUP(Tabla1[[#This Row],[Codigo]],Hoja2!$D$2:$D$420,Hoja2!$C$2:$C$420)</f>
        <v>RECIO 1 - AUT   [2125700094;TOL;HID;LG;N;AO10;H8; DOSPINA; 0; IPWD; R24;FNCM; ; ]</v>
      </c>
    </row>
    <row r="346" spans="1:5" x14ac:dyDescent="0.25">
      <c r="A346" s="1">
        <v>345</v>
      </c>
      <c r="B346" s="21" t="s">
        <v>347</v>
      </c>
      <c r="C346" s="2">
        <v>21257090</v>
      </c>
      <c r="E346" t="str">
        <f>+_xlfn.XLOOKUP(Tabla1[[#This Row],[Codigo]],Hoja2!$D$2:$D$420,Hoja2!$C$2:$C$420)</f>
        <v>LA ESMERALDA - AUT [21257090; TOL; HID; AO10; FONDO ADAPTACION]</v>
      </c>
    </row>
    <row r="347" spans="1:5" x14ac:dyDescent="0.25">
      <c r="A347" s="1">
        <v>346</v>
      </c>
      <c r="B347" s="21" t="s">
        <v>348</v>
      </c>
      <c r="C347" s="2">
        <v>22077050</v>
      </c>
      <c r="E347" t="str">
        <f>+_xlfn.XLOOKUP(Tabla1[[#This Row],[Codigo]],Hoja2!$D$2:$D$420,Hoja2!$C$2:$C$420)</f>
        <v>PIJAITO  - AUT [22077050; TOL; HID; INMARSAT; AO10; FONDO ADAPTACION]</v>
      </c>
    </row>
    <row r="348" spans="1:5" x14ac:dyDescent="0.25">
      <c r="A348" s="1">
        <v>347</v>
      </c>
      <c r="B348" s="21" t="s">
        <v>349</v>
      </c>
      <c r="C348" s="2">
        <v>21257120</v>
      </c>
      <c r="E348" t="str">
        <f>+_xlfn.XLOOKUP(Tabla1[[#This Row],[Codigo]],Hoja2!$D$2:$D$420,Hoja2!$C$2:$C$420)</f>
        <v>PUENTE GATO NEGRO  - AUT [21257120; TOL; HID; INMARSAT; AO10; FONDO ADAPTACION]</v>
      </c>
    </row>
    <row r="349" spans="1:5" x14ac:dyDescent="0.25">
      <c r="A349" s="1">
        <v>348</v>
      </c>
      <c r="B349" s="21" t="s">
        <v>350</v>
      </c>
      <c r="C349" s="2">
        <v>21195190</v>
      </c>
      <c r="E349" t="str">
        <f>+_xlfn.XLOOKUP(Tabla1[[#This Row],[Codigo]],Hoja2!$D$2:$D$420,Hoja2!$C$2:$C$420)</f>
        <v>PASCA [21195190; AO11; FONDO ADAPTACION]</v>
      </c>
    </row>
    <row r="350" spans="1:5" x14ac:dyDescent="0.25">
      <c r="A350" s="1">
        <v>349</v>
      </c>
      <c r="B350" s="21" t="s">
        <v>351</v>
      </c>
      <c r="C350" s="2">
        <v>21206980</v>
      </c>
      <c r="E350" t="str">
        <f>+_xlfn.XLOOKUP(Tabla1[[#This Row],[Codigo]],Hoja2!$D$2:$D$420,Hoja2!$C$2:$C$420)</f>
        <v>SANTA CRUZ DE SIECHA [21206980; AO11; FONDO ADAPTACION]</v>
      </c>
    </row>
    <row r="351" spans="1:5" x14ac:dyDescent="0.25">
      <c r="A351" s="1">
        <v>350</v>
      </c>
      <c r="B351" s="21" t="s">
        <v>352</v>
      </c>
      <c r="C351" s="2">
        <v>2120500050</v>
      </c>
      <c r="E351" t="str">
        <f>+_xlfn.XLOOKUP(Tabla1[[#This Row],[Codigo]],Hoja2!$D$2:$D$420,Hoja2!$C$2:$C$420)</f>
        <v>PARAMO ALTO [2120500050; AO11; FONDO ADAPTACION]</v>
      </c>
    </row>
    <row r="352" spans="1:5" x14ac:dyDescent="0.25">
      <c r="A352" s="3">
        <v>351</v>
      </c>
      <c r="B352" s="21" t="s">
        <v>353</v>
      </c>
      <c r="C352" s="2">
        <v>2120700162</v>
      </c>
      <c r="E352" t="str">
        <f>+_xlfn.XLOOKUP(Tabla1[[#This Row],[Codigo]],Hoja2!$D$2:$D$420,Hoja2!$C$2:$C$420)</f>
        <v>SAN JOAQUIN [2120700162;  AO11; FONDO DE ADAPTACIÓN]</v>
      </c>
    </row>
    <row r="353" spans="1:5" x14ac:dyDescent="0.25">
      <c r="A353" s="1">
        <v>352</v>
      </c>
      <c r="B353" s="21" t="s">
        <v>354</v>
      </c>
      <c r="C353" s="2">
        <v>35025090</v>
      </c>
      <c r="E353" t="str">
        <f>+_xlfn.XLOOKUP(Tabla1[[#This Row],[Codigo]],Hoja2!$D$2:$D$420,Hoja2!$C$2:$C$420)</f>
        <v>BOSQUE INTERVENIDO  - AUT [35025090]</v>
      </c>
    </row>
    <row r="354" spans="1:5" x14ac:dyDescent="0.25">
      <c r="A354" s="1">
        <v>353</v>
      </c>
      <c r="B354" s="21" t="s">
        <v>355</v>
      </c>
      <c r="C354" s="2">
        <v>24015110</v>
      </c>
      <c r="E354" t="str">
        <f>+_xlfn.XLOOKUP(Tabla1[[#This Row],[Codigo]],Hoja2!$D$2:$D$420,Hoja2!$C$2:$C$420)</f>
        <v>LA BOYERA [24015110; AO11; FONDO ADAPTACION]</v>
      </c>
    </row>
    <row r="355" spans="1:5" x14ac:dyDescent="0.25">
      <c r="A355" s="1">
        <v>354</v>
      </c>
      <c r="B355" s="21" t="s">
        <v>356</v>
      </c>
      <c r="C355" s="2">
        <v>35027510</v>
      </c>
      <c r="E355" t="str">
        <f>+_xlfn.XLOOKUP(Tabla1[[#This Row],[Codigo]],Hoja2!$D$2:$D$420,Hoja2!$C$2:$C$420)</f>
        <v>CALOSTROS BAJO - AUT  [35027510]</v>
      </c>
    </row>
    <row r="356" spans="1:5" x14ac:dyDescent="0.25">
      <c r="A356" s="1">
        <v>355</v>
      </c>
      <c r="B356" s="21" t="s">
        <v>357</v>
      </c>
      <c r="C356" s="2">
        <v>21206930</v>
      </c>
      <c r="E356" t="str">
        <f>+_xlfn.XLOOKUP(Tabla1[[#This Row],[Codigo]],Hoja2!$D$2:$D$420,Hoja2!$C$2:$C$420)</f>
        <v>PARAMO GUERRERO [21206930; AO11; FONDO ADAPTACION]</v>
      </c>
    </row>
    <row r="357" spans="1:5" x14ac:dyDescent="0.25">
      <c r="A357" s="1">
        <v>356</v>
      </c>
      <c r="B357" s="21" t="s">
        <v>358</v>
      </c>
      <c r="C357" s="2">
        <v>23065110</v>
      </c>
      <c r="E357" t="str">
        <f>+_xlfn.XLOOKUP(Tabla1[[#This Row],[Codigo]],Hoja2!$D$2:$D$420,Hoja2!$C$2:$C$420)</f>
        <v>YACOPI [23065110;  AO11; FONDO ADAPTACION]</v>
      </c>
    </row>
    <row r="358" spans="1:5" x14ac:dyDescent="0.25">
      <c r="A358" s="1">
        <v>357</v>
      </c>
      <c r="B358" s="21" t="s">
        <v>359</v>
      </c>
      <c r="C358" s="2">
        <v>21206920</v>
      </c>
      <c r="E358" t="str">
        <f>+_xlfn.XLOOKUP(Tabla1[[#This Row],[Codigo]],Hoja2!$D$2:$D$420,Hoja2!$C$2:$C$420)</f>
        <v>VILLA TERESA [21206920; AO11; FONDO ADAPTACION]</v>
      </c>
    </row>
    <row r="359" spans="1:5" x14ac:dyDescent="0.25">
      <c r="A359" s="3">
        <v>358</v>
      </c>
      <c r="B359" s="21" t="s">
        <v>360</v>
      </c>
      <c r="C359" s="2">
        <v>35027500</v>
      </c>
      <c r="E359" t="str">
        <f>+_xlfn.XLOOKUP(Tabla1[[#This Row],[Codigo]],Hoja2!$D$2:$D$420,Hoja2!$C$2:$C$420)</f>
        <v>QUEBRADA RINCON  - AUT [35027500]</v>
      </c>
    </row>
    <row r="360" spans="1:5" x14ac:dyDescent="0.25">
      <c r="A360" s="1">
        <v>359</v>
      </c>
      <c r="B360" s="21" t="s">
        <v>361</v>
      </c>
      <c r="C360" s="2">
        <v>2306500106</v>
      </c>
      <c r="E360" t="str">
        <f>+_xlfn.XLOOKUP(Tabla1[[#This Row],[Codigo]],Hoja2!$D$2:$D$420,Hoja2!$C$2:$C$420)</f>
        <v>ALTO DEL TRIGO -   [2306500106; AO11; FONDO ADAPTACION]</v>
      </c>
    </row>
    <row r="361" spans="1:5" x14ac:dyDescent="0.25">
      <c r="A361" s="1">
        <v>360</v>
      </c>
      <c r="B361" s="21" t="s">
        <v>362</v>
      </c>
      <c r="C361" s="2">
        <v>24035430</v>
      </c>
      <c r="E361" t="str">
        <f>+_xlfn.XLOOKUP(Tabla1[[#This Row],[Codigo]],Hoja2!$D$2:$D$420,Hoja2!$C$2:$C$420)</f>
        <v>TUNGUAVITA - AUT [24035430; AO06; MET; INMARSAT;  FONDO ADAPTACION]</v>
      </c>
    </row>
    <row r="362" spans="1:5" x14ac:dyDescent="0.25">
      <c r="A362" s="1">
        <v>361</v>
      </c>
      <c r="B362" s="21" t="s">
        <v>363</v>
      </c>
      <c r="C362" s="2">
        <v>2405700149</v>
      </c>
      <c r="E362" t="str">
        <f>+_xlfn.XLOOKUP(Tabla1[[#This Row],[Codigo]],Hoja2!$D$2:$D$420,Hoja2!$C$2:$C$420)</f>
        <v>EL JUNCAL - AUT   [2405700149; SAN; HID; LG; N; AO08; H9; GCAICEDO; 45-15; IPWD; R24; ; ; ]</v>
      </c>
    </row>
    <row r="363" spans="1:5" x14ac:dyDescent="0.25">
      <c r="A363" s="1">
        <v>362</v>
      </c>
      <c r="B363" s="21" t="s">
        <v>364</v>
      </c>
      <c r="C363" s="2">
        <v>56015040</v>
      </c>
      <c r="E363" t="str">
        <f>+_xlfn.XLOOKUP(Tabla1[[#This Row],[Codigo]],Hoja2!$D$2:$D$420,Hoja2!$C$2:$C$420)</f>
        <v>JURADO [56015040;AO 01;PROCESO DE SUSPENSIÓN]</v>
      </c>
    </row>
    <row r="364" spans="1:5" x14ac:dyDescent="0.25">
      <c r="A364" s="1">
        <v>363</v>
      </c>
      <c r="B364" s="21" t="s">
        <v>365</v>
      </c>
      <c r="C364" s="2">
        <v>11017020</v>
      </c>
      <c r="E364" t="str">
        <f>+_xlfn.XLOOKUP(Tabla1[[#This Row],[Codigo]],Hoja2!$D$2:$D$420,Hoja2!$C$2:$C$420)</f>
        <v>BAGADO [11017020; AO 01;SINIESTRO; PROCESO DE SUSPENCIÓN]</v>
      </c>
    </row>
    <row r="365" spans="1:5" x14ac:dyDescent="0.25">
      <c r="A365" s="1">
        <v>364</v>
      </c>
      <c r="B365" s="21" t="s">
        <v>366</v>
      </c>
      <c r="C365" s="2">
        <v>26247050</v>
      </c>
      <c r="E365" t="str">
        <f>+_xlfn.XLOOKUP(Tabla1[[#This Row],[Codigo]],Hoja2!$D$2:$D$420,Hoja2!$C$2:$C$420)</f>
        <v>LAS CAMELIAS - AUT [26247050]</v>
      </c>
    </row>
    <row r="366" spans="1:5" x14ac:dyDescent="0.25">
      <c r="A366" s="3">
        <v>365</v>
      </c>
      <c r="B366" s="21" t="s">
        <v>367</v>
      </c>
      <c r="C366" s="2">
        <v>26217050</v>
      </c>
      <c r="E366" t="str">
        <f>+_xlfn.XLOOKUP(Tabla1[[#This Row],[Codigo]],Hoja2!$D$2:$D$420,Hoja2!$C$2:$C$420)</f>
        <v>CAÑAFISTO [26217050]</v>
      </c>
    </row>
    <row r="367" spans="1:5" x14ac:dyDescent="0.25">
      <c r="A367" s="1">
        <v>366</v>
      </c>
      <c r="B367" s="21" t="s">
        <v>368</v>
      </c>
      <c r="C367" s="2">
        <v>25027200</v>
      </c>
      <c r="E367" t="str">
        <f>+_xlfn.XLOOKUP(Tabla1[[#This Row],[Codigo]],Hoja2!$D$2:$D$420,Hoja2!$C$2:$C$420)</f>
        <v>LAS VARAS [25027200;AO 01;IDEAM]</v>
      </c>
    </row>
    <row r="368" spans="1:5" x14ac:dyDescent="0.25">
      <c r="A368" s="1">
        <v>367</v>
      </c>
      <c r="B368" s="21" t="s">
        <v>369</v>
      </c>
      <c r="C368" s="2">
        <v>29057003</v>
      </c>
      <c r="E368" t="str">
        <f>+_xlfn.XLOOKUP(Tabla1[[#This Row],[Codigo]],Hoja2!$D$2:$D$420,Hoja2!$C$2:$C$420)</f>
        <v>MACHADO  AUT [29057003; AO02; CANAL DEL DIQUE]</v>
      </c>
    </row>
    <row r="369" spans="1:5" x14ac:dyDescent="0.25">
      <c r="A369" s="1">
        <v>368</v>
      </c>
      <c r="B369" s="21" t="s">
        <v>370</v>
      </c>
      <c r="C369" s="2">
        <v>35107040</v>
      </c>
      <c r="E369" t="str">
        <f>+_xlfn.XLOOKUP(Tabla1[[#This Row],[Codigo]],Hoja2!$D$2:$D$420,Hoja2!$C$2:$C$420)</f>
        <v>GUAICARAMO - AUT [35107040;AO 03;FONDO ADAPTACION;SINIESTRO]</v>
      </c>
    </row>
    <row r="370" spans="1:5" x14ac:dyDescent="0.25">
      <c r="A370" s="1">
        <v>369</v>
      </c>
      <c r="B370" s="21" t="s">
        <v>371</v>
      </c>
      <c r="C370" s="2">
        <v>21137030</v>
      </c>
      <c r="E370" t="str">
        <f>+_xlfn.XLOOKUP(Tabla1[[#This Row],[Codigo]],Hoja2!$D$2:$D$420,Hoja2!$C$2:$C$420)</f>
        <v>PUENTE CARRETERA  - AUT [21137030; HUI; HID; INMARSAT; AO04; FONDO ADAPTACION]</v>
      </c>
    </row>
    <row r="371" spans="1:5" x14ac:dyDescent="0.25">
      <c r="A371" s="1">
        <v>370</v>
      </c>
      <c r="B371" s="21" t="s">
        <v>372</v>
      </c>
      <c r="C371" s="2">
        <v>25025000</v>
      </c>
      <c r="E371" t="str">
        <f>+_xlfn.XLOOKUP(Tabla1[[#This Row],[Codigo]],Hoja2!$D$2:$D$420,Hoja2!$C$2:$C$420)</f>
        <v>EL DIFICIL - AUT [25025000]</v>
      </c>
    </row>
    <row r="372" spans="1:5" x14ac:dyDescent="0.25">
      <c r="A372" s="1">
        <v>371</v>
      </c>
      <c r="B372" s="21" t="s">
        <v>373</v>
      </c>
      <c r="C372" s="2">
        <v>2804500076</v>
      </c>
      <c r="E372" t="str">
        <f>+_xlfn.XLOOKUP(Tabla1[[#This Row],[Codigo]],Hoja2!$D$2:$D$420,Hoja2!$C$2:$C$420)</f>
        <v>PALMARITO - AUT [2804500076]</v>
      </c>
    </row>
    <row r="373" spans="1:5" x14ac:dyDescent="0.25">
      <c r="A373" s="3">
        <v>372</v>
      </c>
      <c r="B373" s="21" t="s">
        <v>374</v>
      </c>
      <c r="C373" s="2">
        <v>28025130</v>
      </c>
      <c r="E373" t="str">
        <f>+_xlfn.XLOOKUP(Tabla1[[#This Row],[Codigo]],Hoja2!$D$2:$D$420,Hoja2!$C$2:$C$420)</f>
        <v>LA LOMA CARBONES - AUT [28025130;  AO05; PROCESO DE SUSPENSIÓN]</v>
      </c>
    </row>
    <row r="374" spans="1:5" x14ac:dyDescent="0.25">
      <c r="A374" s="1">
        <v>373</v>
      </c>
      <c r="B374" s="21" t="s">
        <v>375</v>
      </c>
      <c r="C374" s="2">
        <v>22057060</v>
      </c>
      <c r="E374" t="str">
        <f>+_xlfn.XLOOKUP(Tabla1[[#This Row],[Codigo]],Hoja2!$D$2:$D$420,Hoja2!$C$2:$C$420)</f>
        <v>LA MURALLA - AUT [22057060; AO10; PROCESO DE SUSPENSIÓN]</v>
      </c>
    </row>
    <row r="375" spans="1:5" x14ac:dyDescent="0.25">
      <c r="A375" s="1">
        <v>374</v>
      </c>
      <c r="B375" s="21" t="s">
        <v>376</v>
      </c>
      <c r="C375" s="2">
        <v>23067080</v>
      </c>
      <c r="E375" t="str">
        <f>+_xlfn.XLOOKUP(Tabla1[[#This Row],[Codigo]],Hoja2!$D$2:$D$420,Hoja2!$C$2:$C$420)</f>
        <v>CHARCO LARGO [23067080; AO11; FONDO ADAPTACION]</v>
      </c>
    </row>
    <row r="376" spans="1:5" x14ac:dyDescent="0.25">
      <c r="A376" s="1">
        <v>375</v>
      </c>
      <c r="B376" s="21" t="s">
        <v>377</v>
      </c>
      <c r="C376" s="2">
        <v>11105020</v>
      </c>
      <c r="E376" t="str">
        <f>+_xlfn.XLOOKUP(Tabla1[[#This Row],[Codigo]],Hoja2!$D$2:$D$420,Hoja2!$C$2:$C$420)</f>
        <v>CARMEN DEL DARIEN [11105020;AO 01;PROCESO DE SUSPENSIÓN]</v>
      </c>
    </row>
    <row r="377" spans="1:5" x14ac:dyDescent="0.25">
      <c r="A377" s="1">
        <v>376</v>
      </c>
      <c r="B377" s="21" t="s">
        <v>378</v>
      </c>
      <c r="C377" s="2">
        <v>11120040</v>
      </c>
      <c r="E377" t="str">
        <f>+_xlfn.XLOOKUP(Tabla1[[#This Row],[Codigo]],Hoja2!$D$2:$D$420,Hoja2!$C$2:$C$420)</f>
        <v>RIOSUCIO [11120040;AO 01;PROYECTO CHOCO]</v>
      </c>
    </row>
    <row r="378" spans="1:5" x14ac:dyDescent="0.25">
      <c r="A378" s="1">
        <v>377</v>
      </c>
      <c r="B378" s="21" t="s">
        <v>379</v>
      </c>
      <c r="C378" s="2">
        <v>11080010</v>
      </c>
      <c r="E378" t="str">
        <f>+_xlfn.XLOOKUP(Tabla1[[#This Row],[Codigo]],Hoja2!$D$2:$D$420,Hoja2!$C$2:$C$420)</f>
        <v>BELLAVISTA [11080010;AO 01;PROYECTO CHOCO]</v>
      </c>
    </row>
    <row r="379" spans="1:5" x14ac:dyDescent="0.25">
      <c r="A379" s="1">
        <v>378</v>
      </c>
      <c r="B379" s="21" t="s">
        <v>380</v>
      </c>
      <c r="C379" s="2">
        <v>11155030</v>
      </c>
      <c r="E379" t="str">
        <f>+_xlfn.XLOOKUP(Tabla1[[#This Row],[Codigo]],Hoja2!$D$2:$D$420,Hoja2!$C$2:$C$420)</f>
        <v>CAPURGANA - AUT [11155030]</v>
      </c>
    </row>
    <row r="380" spans="1:5" x14ac:dyDescent="0.25">
      <c r="A380" s="3">
        <v>379</v>
      </c>
      <c r="B380" s="21" t="s">
        <v>381</v>
      </c>
      <c r="C380" s="2">
        <v>56010040</v>
      </c>
      <c r="E380" t="str">
        <f>+_xlfn.XLOOKUP(Tabla1[[#This Row],[Codigo]],Hoja2!$D$2:$D$420,Hoja2!$C$2:$C$420)</f>
        <v>NUQUI [56010040;AO 01;PROYECTO CHOCO]</v>
      </c>
    </row>
    <row r="381" spans="1:5" x14ac:dyDescent="0.25">
      <c r="A381" s="1">
        <v>380</v>
      </c>
      <c r="B381" s="21" t="s">
        <v>382</v>
      </c>
      <c r="C381" s="2">
        <v>12015110</v>
      </c>
      <c r="E381" t="str">
        <f>+_xlfn.XLOOKUP(Tabla1[[#This Row],[Codigo]],Hoja2!$D$2:$D$420,Hoja2!$C$2:$C$420)</f>
        <v>CHIGORODO - AUT [12015110]</v>
      </c>
    </row>
    <row r="382" spans="1:5" x14ac:dyDescent="0.25">
      <c r="A382" s="1">
        <v>381</v>
      </c>
      <c r="B382" s="21" t="s">
        <v>383</v>
      </c>
      <c r="C382" s="2">
        <v>27015290</v>
      </c>
      <c r="E382" t="str">
        <f>+_xlfn.XLOOKUP(Tabla1[[#This Row],[Codigo]],Hoja2!$D$2:$D$420,Hoja2!$C$2:$C$420)</f>
        <v>PAJARITO - AUT [27015290]</v>
      </c>
    </row>
    <row r="383" spans="1:5" x14ac:dyDescent="0.25">
      <c r="A383" s="1">
        <v>382</v>
      </c>
      <c r="B383" s="21" t="s">
        <v>384</v>
      </c>
      <c r="C383" s="2">
        <v>27037030</v>
      </c>
      <c r="E383" t="str">
        <f>+_xlfn.XLOOKUP(Tabla1[[#This Row],[Codigo]],Hoja2!$D$2:$D$420,Hoja2!$C$2:$C$420)</f>
        <v>SAN JUAN NECHI - AUT [27037030]</v>
      </c>
    </row>
    <row r="384" spans="1:5" x14ac:dyDescent="0.25">
      <c r="A384" s="1">
        <v>383</v>
      </c>
      <c r="B384" s="21" t="s">
        <v>385</v>
      </c>
      <c r="C384" s="2">
        <v>2308500068</v>
      </c>
      <c r="E384" t="str">
        <f>+_xlfn.XLOOKUP(Tabla1[[#This Row],[Codigo]],Hoja2!$D$2:$D$420,Hoja2!$C$2:$C$420)</f>
        <v>SANTUARIO - AUT [2308500068]</v>
      </c>
    </row>
    <row r="385" spans="1:5" x14ac:dyDescent="0.25">
      <c r="A385" s="1">
        <v>384</v>
      </c>
      <c r="B385" s="21" t="s">
        <v>386</v>
      </c>
      <c r="C385" s="2">
        <v>11050020</v>
      </c>
      <c r="E385" t="e">
        <f>+_xlfn.XLOOKUP(Tabla1[[#This Row],[Codigo]],Hoja2!$D$2:$D$420,Hoja2!$C$2:$C$420)</f>
        <v>#N/A</v>
      </c>
    </row>
    <row r="386" spans="1:5" x14ac:dyDescent="0.25">
      <c r="A386" s="1">
        <v>385</v>
      </c>
      <c r="B386" s="21" t="s">
        <v>387</v>
      </c>
      <c r="C386" s="2">
        <v>29057002</v>
      </c>
      <c r="E386" t="str">
        <f>+_xlfn.XLOOKUP(Tabla1[[#This Row],[Codigo]],Hoja2!$D$2:$D$420,Hoja2!$C$2:$C$420)</f>
        <v>LEQUERICA - AUT - AUT [29057002; AO02; CANAL DEL DIQUE]</v>
      </c>
    </row>
    <row r="387" spans="1:5" x14ac:dyDescent="0.25">
      <c r="A387" s="3">
        <v>386</v>
      </c>
      <c r="B387" s="21" t="s">
        <v>388</v>
      </c>
      <c r="C387" s="2">
        <v>29057001</v>
      </c>
      <c r="E387" t="str">
        <f>+_xlfn.XLOOKUP(Tabla1[[#This Row],[Codigo]],Hoja2!$D$2:$D$420,Hoja2!$C$2:$C$420)</f>
        <v>SAN CRISTOBAL - AUT [29057001; AO02; CANAL DEL DIQUE]</v>
      </c>
    </row>
    <row r="388" spans="1:5" x14ac:dyDescent="0.25">
      <c r="A388" s="1">
        <v>387</v>
      </c>
      <c r="B388" s="21" t="s">
        <v>389</v>
      </c>
      <c r="C388" s="2">
        <v>29057004</v>
      </c>
      <c r="E388" t="str">
        <f>+_xlfn.XLOOKUP(Tabla1[[#This Row],[Codigo]],Hoja2!$D$2:$D$420,Hoja2!$C$2:$C$420)</f>
        <v>SANTA HELENA..  - AUT  [29057004; AO02; CANAL DEL DIUE]</v>
      </c>
    </row>
    <row r="389" spans="1:5" x14ac:dyDescent="0.25">
      <c r="A389" s="1">
        <v>388</v>
      </c>
      <c r="B389" s="21" t="s">
        <v>390</v>
      </c>
      <c r="C389" s="2">
        <v>2501700189</v>
      </c>
      <c r="E389" t="str">
        <f>+_xlfn.XLOOKUP(Tabla1[[#This Row],[Codigo]],Hoja2!$D$2:$D$420,Hoja2!$C$2:$C$420)</f>
        <v>URÉ [2501700189]</v>
      </c>
    </row>
    <row r="390" spans="1:5" x14ac:dyDescent="0.25">
      <c r="A390" s="1">
        <v>389</v>
      </c>
      <c r="B390" s="21" t="s">
        <v>391</v>
      </c>
      <c r="C390" s="2">
        <v>35227070</v>
      </c>
      <c r="E390" t="str">
        <f>+_xlfn.XLOOKUP(Tabla1[[#This Row],[Codigo]],Hoja2!$D$2:$D$420,Hoja2!$C$2:$C$420)</f>
        <v>OROCUE BRAZO DERECHO [35227070;AO 03;PAREX 4]</v>
      </c>
    </row>
    <row r="391" spans="1:5" x14ac:dyDescent="0.25">
      <c r="A391" s="1">
        <v>390</v>
      </c>
      <c r="B391" s="21" t="s">
        <v>392</v>
      </c>
      <c r="C391" s="2">
        <v>21057130</v>
      </c>
      <c r="E391" t="str">
        <f>+_xlfn.XLOOKUP(Tabla1[[#This Row],[Codigo]],Hoja2!$D$2:$D$420,Hoja2!$C$2:$C$420)</f>
        <v>RIO CHIQUITO [21057130; CAU; HID; LG; AO04; GOES: CB128186]</v>
      </c>
    </row>
    <row r="392" spans="1:5" x14ac:dyDescent="0.25">
      <c r="A392" s="1">
        <v>391</v>
      </c>
      <c r="B392" s="21" t="s">
        <v>393</v>
      </c>
      <c r="C392" s="2">
        <v>44197020</v>
      </c>
      <c r="E392" t="str">
        <f>+_xlfn.XLOOKUP(Tabla1[[#This Row],[Codigo]],Hoja2!$D$2:$D$420,Hoja2!$C$2:$C$420)</f>
        <v>VILLARREAL [44197020; AO11; IDEAM]</v>
      </c>
    </row>
    <row r="393" spans="1:5" x14ac:dyDescent="0.25">
      <c r="A393" s="1">
        <v>392</v>
      </c>
      <c r="B393" s="21" t="s">
        <v>394</v>
      </c>
      <c r="C393" s="2">
        <v>21050090</v>
      </c>
      <c r="E393" t="str">
        <f>+_xlfn.XLOOKUP(Tabla1[[#This Row],[Codigo]],Hoja2!$D$2:$D$420,Hoja2!$C$2:$C$420)</f>
        <v>NATAGA  - AUT [21050090]</v>
      </c>
    </row>
    <row r="394" spans="1:5" x14ac:dyDescent="0.25">
      <c r="A394" s="3">
        <v>393</v>
      </c>
      <c r="B394" s="21" t="s">
        <v>395</v>
      </c>
      <c r="C394" s="2">
        <v>29065140</v>
      </c>
      <c r="E394" t="str">
        <f>+_xlfn.XLOOKUP(Tabla1[[#This Row],[Codigo]],Hoja2!$D$2:$D$420,Hoja2!$C$2:$C$420)</f>
        <v>COLEGIO KANKAWARWA - AUT [29065140]</v>
      </c>
    </row>
    <row r="395" spans="1:5" x14ac:dyDescent="0.25">
      <c r="A395" s="1">
        <v>394</v>
      </c>
      <c r="B395" s="21" t="s">
        <v>396</v>
      </c>
      <c r="C395" s="2">
        <v>35097080</v>
      </c>
      <c r="E395" t="str">
        <f>+_xlfn.XLOOKUP(Tabla1[[#This Row],[Codigo]],Hoja2!$D$2:$D$420,Hoja2!$C$2:$C$420)</f>
        <v>CEIBAL EL [35097080;  AO06; HID; GOES IDEAM] SINIESTRO</v>
      </c>
    </row>
    <row r="396" spans="1:5" x14ac:dyDescent="0.25">
      <c r="A396" s="1">
        <v>395</v>
      </c>
      <c r="B396" s="21" t="s">
        <v>397</v>
      </c>
      <c r="C396" s="2">
        <v>51025090</v>
      </c>
      <c r="E396" t="str">
        <f>+_xlfn.XLOOKUP(Tabla1[[#This Row],[Codigo]],Hoja2!$D$2:$D$420,Hoja2!$C$2:$C$420)</f>
        <v>GRANJA EL MIRA - AUT [51025090; AO 07;IDEAM]</v>
      </c>
    </row>
    <row r="397" spans="1:5" x14ac:dyDescent="0.25">
      <c r="A397" s="1">
        <v>396</v>
      </c>
      <c r="B397" s="21" t="s">
        <v>398</v>
      </c>
      <c r="C397" s="2">
        <v>51025060</v>
      </c>
      <c r="E397" t="str">
        <f>+_xlfn.XLOOKUP(Tabla1[[#This Row],[Codigo]],Hoja2!$D$2:$D$420,Hoja2!$C$2:$C$420)</f>
        <v>BIOTOPO - AUT [51025060;  AO07; PROCESO DE SUSPENSIÓN]</v>
      </c>
    </row>
    <row r="398" spans="1:5" x14ac:dyDescent="0.25">
      <c r="A398" s="1">
        <v>397</v>
      </c>
      <c r="B398" s="21" t="s">
        <v>399</v>
      </c>
      <c r="C398" s="2">
        <v>26157190</v>
      </c>
      <c r="E398" t="str">
        <f>+_xlfn.XLOOKUP(Tabla1[[#This Row],[Codigo]],Hoja2!$D$2:$D$420,Hoja2!$C$2:$C$420)</f>
        <v>RIO CLARO - AUT [26157190; CAL; HID; INMARSAT; AO09; FONDO ADAPTACION]</v>
      </c>
    </row>
    <row r="399" spans="1:5" x14ac:dyDescent="0.25">
      <c r="A399" s="1">
        <v>398</v>
      </c>
      <c r="B399" s="21" t="s">
        <v>400</v>
      </c>
      <c r="C399" s="2">
        <v>26057030</v>
      </c>
      <c r="E399" t="str">
        <f>+_xlfn.XLOOKUP(Tabla1[[#This Row],[Codigo]],Hoja2!$D$2:$D$420,Hoja2!$C$2:$C$420)</f>
        <v>POTRERITO AUT [26057030]</v>
      </c>
    </row>
    <row r="400" spans="1:5" x14ac:dyDescent="0.25">
      <c r="A400" s="1">
        <v>399</v>
      </c>
      <c r="B400" s="21" t="s">
        <v>401</v>
      </c>
      <c r="C400" s="2">
        <v>26127010</v>
      </c>
      <c r="E400" t="str">
        <f>+_xlfn.XLOOKUP(Tabla1[[#This Row],[Codigo]],Hoja2!$D$2:$D$420,Hoja2!$C$2:$C$420)</f>
        <v>EL ALAMBRADO [26127010; QUIN; HID; GOES: CB05842C; AO09; IDEAM]</v>
      </c>
    </row>
    <row r="401" spans="1:5" x14ac:dyDescent="0.25">
      <c r="A401" s="3">
        <v>400</v>
      </c>
      <c r="B401" s="21" t="s">
        <v>402</v>
      </c>
      <c r="C401" s="2">
        <v>55015020</v>
      </c>
      <c r="E401" t="str">
        <f>+_xlfn.XLOOKUP(Tabla1[[#This Row],[Codigo]],Hoja2!$D$2:$D$420,Hoja2!$C$2:$C$420)</f>
        <v>BAJO BAUDO - AUT  [55015020; CHO; MET; GOES:CB03C7E8; AO09; PROYECTO CHOCO]</v>
      </c>
    </row>
    <row r="402" spans="1:5" x14ac:dyDescent="0.25">
      <c r="A402" s="1">
        <v>401</v>
      </c>
      <c r="B402" s="21" t="s">
        <v>403</v>
      </c>
      <c r="C402" s="2">
        <v>5311500147</v>
      </c>
      <c r="E402" t="str">
        <f>+_xlfn.XLOOKUP(Tabla1[[#This Row],[Codigo]],Hoja2!$D$2:$D$420,Hoja2!$C$2:$C$420)</f>
        <v>INFANTERIA MARINA [5311500147]</v>
      </c>
    </row>
    <row r="403" spans="1:5" x14ac:dyDescent="0.25">
      <c r="A403" s="1">
        <v>402</v>
      </c>
      <c r="B403" s="21" t="s">
        <v>404</v>
      </c>
      <c r="C403" s="2">
        <v>21237020</v>
      </c>
      <c r="E403" t="str">
        <f>+_xlfn.XLOOKUP(Tabla1[[#This Row],[Codigo]],Hoja2!$D$2:$D$420,Hoja2!$C$2:$C$420)</f>
        <v>ARRANCAPLUMAS  - AUT [21237020; PROCESO DE SUSPENSIÓN]</v>
      </c>
    </row>
    <row r="404" spans="1:5" x14ac:dyDescent="0.25">
      <c r="A404" s="1">
        <v>403</v>
      </c>
      <c r="B404" s="22" t="s">
        <v>405</v>
      </c>
      <c r="C404" s="5">
        <v>35027002</v>
      </c>
      <c r="E404" t="str">
        <f>+_xlfn.XLOOKUP(Tabla1[[#This Row],[Codigo]],Hoja2!$D$2:$D$420,Hoja2!$C$2:$C$420)</f>
        <v>PARQUE RAFAEL NÚÑEZ [35027002]</v>
      </c>
    </row>
    <row r="405" spans="1:5" x14ac:dyDescent="0.25">
      <c r="A405" s="3">
        <v>404</v>
      </c>
      <c r="B405" s="23" t="s">
        <v>406</v>
      </c>
      <c r="C405" s="6">
        <v>29067160</v>
      </c>
      <c r="E405" t="str">
        <f>+_xlfn.XLOOKUP(Tabla1[[#This Row],[Codigo]],Hoja2!$D$2:$D$420,Hoja2!$C$2:$C$420)</f>
        <v>PUENTE SEVILLA  - AUT [29067160; AO05;  ORDEN PUBLICO]</v>
      </c>
    </row>
    <row r="406" spans="1:5" x14ac:dyDescent="0.25">
      <c r="A406" s="3">
        <v>405</v>
      </c>
      <c r="B406" s="24" t="s">
        <v>407</v>
      </c>
      <c r="C406" s="6">
        <v>37037010</v>
      </c>
      <c r="E406" t="str">
        <f>+_xlfn.XLOOKUP(Tabla1[[#This Row],[Codigo]],Hoja2!$D$2:$D$420,Hoja2!$C$2:$C$420)</f>
        <v>PASO DE LA CANOA - AUT [37037010; BOY; HID; INMARSAT; AO08; FONDO ADAPTACION]</v>
      </c>
    </row>
    <row r="407" spans="1:5" x14ac:dyDescent="0.25">
      <c r="A407" s="3">
        <v>406</v>
      </c>
      <c r="B407" s="23" t="s">
        <v>408</v>
      </c>
      <c r="C407" s="6">
        <v>16017010</v>
      </c>
      <c r="E407" t="str">
        <f>+_xlfn.XLOOKUP(Tabla1[[#This Row],[Codigo]],Hoja2!$D$2:$D$420,Hoja2!$C$2:$C$420)</f>
        <v>AGUAS CLARAS  - AUT [16017010; NDS; HID; INMARSAT; AO08; FONDO ADAPTACION]</v>
      </c>
    </row>
    <row r="408" spans="1:5" x14ac:dyDescent="0.25">
      <c r="A408" s="3">
        <v>407</v>
      </c>
      <c r="B408" s="23" t="s">
        <v>409</v>
      </c>
      <c r="C408" s="6">
        <v>16027060</v>
      </c>
      <c r="E408" t="str">
        <f>+_xlfn.XLOOKUP(Tabla1[[#This Row],[Codigo]],Hoja2!$D$2:$D$420,Hoja2!$C$2:$C$420)</f>
        <v>PUERTO LEON - AUT [16027060; NDS; HID; INMARSAT; AO08; FONDO ADAPTACION]</v>
      </c>
    </row>
    <row r="409" spans="1:5" x14ac:dyDescent="0.25">
      <c r="A409" s="3">
        <v>408</v>
      </c>
      <c r="B409" s="23" t="s">
        <v>410</v>
      </c>
      <c r="C409" s="6">
        <v>16067010</v>
      </c>
      <c r="E409" t="str">
        <f>+_xlfn.XLOOKUP(Tabla1[[#This Row],[Codigo]],Hoja2!$D$2:$D$420,Hoja2!$C$2:$C$420)</f>
        <v>PUERTO BARCO-GABARRA - AUT [16067010; NDS; HID; INMARSAT; AO08; FONDO ADAPTACION]</v>
      </c>
    </row>
    <row r="410" spans="1:5" x14ac:dyDescent="0.25">
      <c r="A410" s="3">
        <v>409</v>
      </c>
      <c r="B410" s="23" t="s">
        <v>411</v>
      </c>
      <c r="C410" s="6">
        <v>23205050</v>
      </c>
      <c r="E410" t="str">
        <f>+_xlfn.XLOOKUP(Tabla1[[#This Row],[Codigo]],Hoja2!$D$2:$D$420,Hoja2!$C$2:$C$420)</f>
        <v>CANELOS  - AUT [23205050; BOL; MET; INMARSAT; AO08; FONDO ADAPTACION]</v>
      </c>
    </row>
    <row r="411" spans="1:5" x14ac:dyDescent="0.25">
      <c r="A411" s="3">
        <v>410</v>
      </c>
      <c r="B411" s="23" t="s">
        <v>412</v>
      </c>
      <c r="C411" s="6">
        <v>16035010</v>
      </c>
      <c r="E411" t="str">
        <f>+_xlfn.XLOOKUP(Tabla1[[#This Row],[Codigo]],Hoja2!$D$2:$D$420,Hoja2!$C$2:$C$420)</f>
        <v>TIBU [16035010; NDS; MET; ROC; PM; AO08; H6; OCARVAJAL; 55-5; IPWD; R24; FNCM; ; ]</v>
      </c>
    </row>
    <row r="412" spans="1:5" x14ac:dyDescent="0.25">
      <c r="A412" s="3">
        <v>411</v>
      </c>
      <c r="B412" s="23" t="s">
        <v>413</v>
      </c>
      <c r="C412" s="6">
        <v>23107020</v>
      </c>
      <c r="E412" t="str">
        <f>+_xlfn.XLOOKUP(Tabla1[[#This Row],[Codigo]],Hoja2!$D$2:$D$420,Hoja2!$C$2:$C$420)</f>
        <v>LA BODEGA - AUT [23107020; ANT; HID; INMARSAT; AO08; FONDO ADAPTACION]</v>
      </c>
    </row>
    <row r="413" spans="1:5" x14ac:dyDescent="0.25">
      <c r="A413" s="3">
        <v>412</v>
      </c>
      <c r="B413" s="23" t="s">
        <v>414</v>
      </c>
      <c r="C413" s="6">
        <v>2604500134</v>
      </c>
      <c r="E413" t="str">
        <f>+_xlfn.XLOOKUP(Tabla1[[#This Row],[Codigo]],Hoja2!$D$2:$D$420,Hoja2!$C$2:$C$420)</f>
        <v>TORIBIO ALERTAS   TORIBIO - AUT   [2604500134; CAU; MET; INMARSAT; AO09; FONDO ADAPTACION]</v>
      </c>
    </row>
    <row r="414" spans="1:5" x14ac:dyDescent="0.25">
      <c r="A414" s="3">
        <v>413</v>
      </c>
      <c r="B414" s="23" t="s">
        <v>415</v>
      </c>
      <c r="C414" s="6">
        <v>2610500131</v>
      </c>
      <c r="E414" t="str">
        <f>+_xlfn.XLOOKUP(Tabla1[[#This Row],[Codigo]],Hoja2!$D$2:$D$420,Hoja2!$C$2:$C$420)</f>
        <v>SANTA LUCIA - AUT   [2610500131;VDC;MET; CP;N;AO09;H8; JSOCAMPO; 45-15; IPWD; R24;FNCM; ;]</v>
      </c>
    </row>
    <row r="415" spans="1:5" x14ac:dyDescent="0.25">
      <c r="A415" s="3">
        <v>414</v>
      </c>
      <c r="B415" s="23" t="s">
        <v>416</v>
      </c>
      <c r="C415" s="6">
        <v>2603700157</v>
      </c>
      <c r="E415" t="str">
        <f>+_xlfn.XLOOKUP(Tabla1[[#This Row],[Codigo]],Hoja2!$D$2:$D$420,Hoja2!$C$2:$C$420)</f>
        <v>REMOLINO - AUT   [2603700157; CAU; HID; LG; N; AO09; H6; DOSPINA; 50-5; IPWD; R24; FNCM; ; ]</v>
      </c>
    </row>
    <row r="416" spans="1:5" x14ac:dyDescent="0.25">
      <c r="A416" s="3">
        <v>415</v>
      </c>
      <c r="B416" s="23" t="s">
        <v>417</v>
      </c>
      <c r="C416" s="6">
        <v>2603500127</v>
      </c>
      <c r="E416" t="str">
        <f>+_xlfn.XLOOKUP(Tabla1[[#This Row],[Codigo]],Hoja2!$D$2:$D$420,Hoja2!$C$2:$C$420)</f>
        <v>REMOLINO ALERTAS - EL VOLCAN - AUT   [2603500127; CAU; MET; CP; N; AO09; H6; DOSPINA; 45-15; IPWD; R24; FNCM; ; ]</v>
      </c>
    </row>
    <row r="417" spans="1:5" x14ac:dyDescent="0.25">
      <c r="A417" s="3">
        <v>416</v>
      </c>
      <c r="B417" s="23" t="s">
        <v>418</v>
      </c>
      <c r="C417" s="6">
        <v>2602700148</v>
      </c>
      <c r="E417" t="str">
        <f>+_xlfn.XLOOKUP(Tabla1[[#This Row],[Codigo]],Hoja2!$D$2:$D$420,Hoja2!$C$2:$C$420)</f>
        <v>CAUCA ALTO - AUT   [2602700148; CAU; HID; LG; N; AO09; H5; DROJAS; 50-10; IPWD; R24; FNCM; ; ]</v>
      </c>
    </row>
    <row r="418" spans="1:5" x14ac:dyDescent="0.25">
      <c r="A418" s="3">
        <v>417</v>
      </c>
      <c r="B418" s="23" t="s">
        <v>419</v>
      </c>
      <c r="C418" s="6">
        <v>16037030</v>
      </c>
      <c r="E418" t="str">
        <f>+_xlfn.XLOOKUP(Tabla1[[#This Row],[Codigo]],Hoja2!$D$2:$D$420,Hoja2!$C$2:$C$420)</f>
        <v>PUENTE SARDINATA - AUT [16037030; NDS; HID; INMARSAT; AO08; FONDO ADAPTACION]</v>
      </c>
    </row>
    <row r="419" spans="1:5" x14ac:dyDescent="0.25">
      <c r="A419" s="3">
        <v>418</v>
      </c>
      <c r="B419" s="24" t="s">
        <v>420</v>
      </c>
      <c r="C419" s="6">
        <v>53075020</v>
      </c>
      <c r="E419" t="str">
        <f>+_xlfn.XLOOKUP(Tabla1[[#This Row],[Codigo]],Hoja2!$D$2:$D$420,Hoja2!$C$2:$C$420)</f>
        <v>EL DIVISO - AUT [53075020; AO07; ORDEN PUBLICO]</v>
      </c>
    </row>
    <row r="420" spans="1:5" x14ac:dyDescent="0.25">
      <c r="A420" s="3">
        <v>419</v>
      </c>
      <c r="B420" s="24" t="s">
        <v>421</v>
      </c>
      <c r="C420" s="6">
        <v>16035030</v>
      </c>
      <c r="E420" t="str">
        <f>+_xlfn.XLOOKUP(Tabla1[[#This Row],[Codigo]],Hoja2!$D$2:$D$420,Hoja2!$C$2:$C$420)</f>
        <v>SARDINATA [16035030; AO 08; MET; GPRS; FONDO ADAPTACION]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ED02-777E-4075-9A5E-E6C687B74364}">
  <dimension ref="A1:BR1758"/>
  <sheetViews>
    <sheetView workbookViewId="0">
      <selection activeCell="D2" sqref="D2:D420"/>
    </sheetView>
  </sheetViews>
  <sheetFormatPr baseColWidth="10" defaultColWidth="12.140625" defaultRowHeight="15" x14ac:dyDescent="0.25"/>
  <cols>
    <col min="1" max="2" width="12.140625" style="19"/>
    <col min="3" max="3" width="115.85546875" bestFit="1" customWidth="1"/>
    <col min="5" max="5" width="14.5703125" bestFit="1" customWidth="1"/>
    <col min="6" max="6" width="12.140625" style="20"/>
  </cols>
  <sheetData>
    <row r="1" spans="1:6" x14ac:dyDescent="0.25">
      <c r="A1" s="7" t="s">
        <v>0</v>
      </c>
      <c r="B1" s="8" t="s">
        <v>422</v>
      </c>
      <c r="C1" s="7" t="s">
        <v>1</v>
      </c>
      <c r="F1"/>
    </row>
    <row r="2" spans="1:6" x14ac:dyDescent="0.25">
      <c r="A2" s="9">
        <v>1</v>
      </c>
      <c r="B2" s="9">
        <v>2</v>
      </c>
      <c r="C2" s="10" t="s">
        <v>423</v>
      </c>
      <c r="D2" s="26">
        <v>23195240</v>
      </c>
      <c r="E2" t="str">
        <f>MID(C2, SEARCH("[", C2) + 1, SEARCH(";", C2 &amp; ";") - SEARCH("[", C2) - 1)</f>
        <v>23195240</v>
      </c>
      <c r="F2"/>
    </row>
    <row r="3" spans="1:6" x14ac:dyDescent="0.25">
      <c r="A3" s="9">
        <v>2</v>
      </c>
      <c r="B3" s="9">
        <v>3</v>
      </c>
      <c r="C3" s="10" t="s">
        <v>424</v>
      </c>
      <c r="D3" s="26">
        <v>16055120</v>
      </c>
      <c r="E3" t="str">
        <f t="shared" ref="E3:E66" si="0">MID(C3, SEARCH("[", C3) + 1, SEARCH(";", C3 &amp; ";") - SEARCH("[", C3) - 1)</f>
        <v>16055120</v>
      </c>
      <c r="F3"/>
    </row>
    <row r="4" spans="1:6" x14ac:dyDescent="0.25">
      <c r="A4" s="9">
        <v>3</v>
      </c>
      <c r="B4" s="9">
        <v>4</v>
      </c>
      <c r="C4" s="10" t="s">
        <v>425</v>
      </c>
      <c r="D4" s="26">
        <v>16015130</v>
      </c>
      <c r="E4" t="str">
        <f t="shared" si="0"/>
        <v>16015130</v>
      </c>
      <c r="F4"/>
    </row>
    <row r="5" spans="1:6" x14ac:dyDescent="0.25">
      <c r="A5" s="9">
        <v>4</v>
      </c>
      <c r="B5" s="9">
        <v>5</v>
      </c>
      <c r="C5" s="10" t="s">
        <v>426</v>
      </c>
      <c r="D5" s="26">
        <v>37057020</v>
      </c>
      <c r="E5" t="str">
        <f t="shared" si="0"/>
        <v>37057020</v>
      </c>
      <c r="F5"/>
    </row>
    <row r="6" spans="1:6" x14ac:dyDescent="0.25">
      <c r="A6" s="9">
        <v>5</v>
      </c>
      <c r="B6" s="9">
        <v>6</v>
      </c>
      <c r="C6" s="10" t="s">
        <v>427</v>
      </c>
      <c r="D6" s="26">
        <v>21105030</v>
      </c>
      <c r="E6" t="str">
        <f t="shared" si="0"/>
        <v>21105030</v>
      </c>
      <c r="F6"/>
    </row>
    <row r="7" spans="1:6" x14ac:dyDescent="0.25">
      <c r="A7" s="9">
        <v>6</v>
      </c>
      <c r="B7" s="9">
        <v>7</v>
      </c>
      <c r="C7" s="10" t="s">
        <v>428</v>
      </c>
      <c r="D7" s="26">
        <v>51025080</v>
      </c>
      <c r="E7" t="str">
        <f t="shared" si="0"/>
        <v>51025080</v>
      </c>
      <c r="F7"/>
    </row>
    <row r="8" spans="1:6" x14ac:dyDescent="0.25">
      <c r="A8" s="9">
        <v>7</v>
      </c>
      <c r="B8" s="9">
        <v>9</v>
      </c>
      <c r="C8" s="10" t="s">
        <v>429</v>
      </c>
      <c r="D8" s="26">
        <v>23087160</v>
      </c>
      <c r="E8" t="str">
        <f t="shared" si="0"/>
        <v>23087160</v>
      </c>
      <c r="F8"/>
    </row>
    <row r="9" spans="1:6" x14ac:dyDescent="0.25">
      <c r="A9" s="9">
        <v>8</v>
      </c>
      <c r="B9" s="9">
        <v>10</v>
      </c>
      <c r="C9" s="10" t="s">
        <v>430</v>
      </c>
      <c r="D9" s="26">
        <v>21137050</v>
      </c>
      <c r="E9" t="str">
        <f t="shared" si="0"/>
        <v>21137050</v>
      </c>
      <c r="F9"/>
    </row>
    <row r="10" spans="1:6" x14ac:dyDescent="0.25">
      <c r="A10" s="9">
        <v>9</v>
      </c>
      <c r="B10" s="9">
        <v>11</v>
      </c>
      <c r="C10" s="10" t="s">
        <v>431</v>
      </c>
      <c r="D10" s="26">
        <v>53045040</v>
      </c>
      <c r="E10" t="str">
        <f t="shared" si="0"/>
        <v>53045040</v>
      </c>
      <c r="F10"/>
    </row>
    <row r="11" spans="1:6" x14ac:dyDescent="0.25">
      <c r="A11" s="9">
        <v>10</v>
      </c>
      <c r="B11" s="9">
        <v>12</v>
      </c>
      <c r="C11" s="10" t="s">
        <v>432</v>
      </c>
      <c r="D11" s="26">
        <v>35095120</v>
      </c>
      <c r="E11" t="str">
        <f t="shared" si="0"/>
        <v>35095120</v>
      </c>
      <c r="F11"/>
    </row>
    <row r="12" spans="1:6" x14ac:dyDescent="0.25">
      <c r="A12" s="9">
        <v>11</v>
      </c>
      <c r="B12" s="9">
        <v>13</v>
      </c>
      <c r="C12" s="10" t="s">
        <v>433</v>
      </c>
      <c r="D12" s="26">
        <v>27015320</v>
      </c>
      <c r="E12" t="str">
        <f t="shared" si="0"/>
        <v>27015320</v>
      </c>
      <c r="F12"/>
    </row>
    <row r="13" spans="1:6" x14ac:dyDescent="0.25">
      <c r="A13" s="9">
        <v>12</v>
      </c>
      <c r="B13" s="9">
        <v>16</v>
      </c>
      <c r="C13" s="10" t="s">
        <v>434</v>
      </c>
      <c r="D13" s="26">
        <v>26015040</v>
      </c>
      <c r="E13" t="str">
        <f t="shared" si="0"/>
        <v>26015040</v>
      </c>
      <c r="F13"/>
    </row>
    <row r="14" spans="1:6" x14ac:dyDescent="0.25">
      <c r="A14" s="9">
        <v>13</v>
      </c>
      <c r="B14" s="9">
        <v>20</v>
      </c>
      <c r="C14" s="10" t="s">
        <v>435</v>
      </c>
      <c r="D14" s="26">
        <v>21206280</v>
      </c>
      <c r="E14" t="str">
        <f t="shared" si="0"/>
        <v>21206280</v>
      </c>
      <c r="F14"/>
    </row>
    <row r="15" spans="1:6" x14ac:dyDescent="0.25">
      <c r="A15" s="9">
        <v>14</v>
      </c>
      <c r="B15" s="9">
        <v>21</v>
      </c>
      <c r="C15" s="10" t="s">
        <v>436</v>
      </c>
      <c r="D15" s="26">
        <v>26085170</v>
      </c>
      <c r="E15" t="str">
        <f t="shared" si="0"/>
        <v>26085170</v>
      </c>
      <c r="F15"/>
    </row>
    <row r="16" spans="1:6" x14ac:dyDescent="0.25">
      <c r="A16" s="9">
        <v>15</v>
      </c>
      <c r="B16" s="9">
        <v>22</v>
      </c>
      <c r="C16" s="10" t="s">
        <v>437</v>
      </c>
      <c r="D16" s="26">
        <v>29065120</v>
      </c>
      <c r="E16" t="str">
        <f t="shared" si="0"/>
        <v>29065120</v>
      </c>
      <c r="F16"/>
    </row>
    <row r="17" spans="1:6" x14ac:dyDescent="0.25">
      <c r="A17" s="9">
        <v>16</v>
      </c>
      <c r="B17" s="9">
        <v>23</v>
      </c>
      <c r="C17" s="10" t="s">
        <v>438</v>
      </c>
      <c r="D17" s="26">
        <v>21215180</v>
      </c>
      <c r="E17" t="str">
        <f t="shared" si="0"/>
        <v>21215180</v>
      </c>
      <c r="F17"/>
    </row>
    <row r="18" spans="1:6" x14ac:dyDescent="0.25">
      <c r="A18" s="9">
        <v>17</v>
      </c>
      <c r="B18" s="9">
        <v>24</v>
      </c>
      <c r="C18" s="10" t="s">
        <v>439</v>
      </c>
      <c r="D18" s="26">
        <v>37015030</v>
      </c>
      <c r="E18" t="str">
        <f t="shared" si="0"/>
        <v>37015030</v>
      </c>
      <c r="F18"/>
    </row>
    <row r="19" spans="1:6" x14ac:dyDescent="0.25">
      <c r="A19" s="9">
        <v>18</v>
      </c>
      <c r="B19" s="9">
        <v>25</v>
      </c>
      <c r="C19" s="10" t="s">
        <v>440</v>
      </c>
      <c r="D19" s="26">
        <v>51025060</v>
      </c>
      <c r="E19" t="str">
        <f t="shared" si="0"/>
        <v>51025060</v>
      </c>
      <c r="F19"/>
    </row>
    <row r="20" spans="1:6" x14ac:dyDescent="0.25">
      <c r="A20" s="9">
        <v>19</v>
      </c>
      <c r="B20" s="9">
        <v>26</v>
      </c>
      <c r="C20" s="10" t="s">
        <v>441</v>
      </c>
      <c r="D20" s="26">
        <v>23067020</v>
      </c>
      <c r="E20" t="str">
        <f t="shared" si="0"/>
        <v>23067020</v>
      </c>
      <c r="F20"/>
    </row>
    <row r="21" spans="1:6" x14ac:dyDescent="0.25">
      <c r="A21" s="9">
        <v>20</v>
      </c>
      <c r="B21" s="9">
        <v>28</v>
      </c>
      <c r="C21" s="10" t="s">
        <v>442</v>
      </c>
      <c r="D21" s="26">
        <v>52055210</v>
      </c>
      <c r="E21" t="str">
        <f t="shared" si="0"/>
        <v>52055210</v>
      </c>
      <c r="F21"/>
    </row>
    <row r="22" spans="1:6" x14ac:dyDescent="0.25">
      <c r="A22" s="9">
        <v>21</v>
      </c>
      <c r="B22" s="9">
        <v>29</v>
      </c>
      <c r="C22" s="10" t="s">
        <v>443</v>
      </c>
      <c r="D22" s="26">
        <v>24015110</v>
      </c>
      <c r="E22" t="str">
        <f t="shared" si="0"/>
        <v>24015110</v>
      </c>
      <c r="F22"/>
    </row>
    <row r="23" spans="1:6" x14ac:dyDescent="0.25">
      <c r="A23" s="9">
        <v>22</v>
      </c>
      <c r="B23" s="9">
        <v>30</v>
      </c>
      <c r="C23" s="10" t="s">
        <v>444</v>
      </c>
      <c r="D23" s="26">
        <v>29015000</v>
      </c>
      <c r="E23" t="str">
        <f t="shared" si="0"/>
        <v>29015000</v>
      </c>
      <c r="F23"/>
    </row>
    <row r="24" spans="1:6" x14ac:dyDescent="0.25">
      <c r="A24" s="9">
        <v>23</v>
      </c>
      <c r="B24" s="9">
        <v>31</v>
      </c>
      <c r="C24" s="10" t="s">
        <v>445</v>
      </c>
      <c r="D24" s="26">
        <v>26115090</v>
      </c>
      <c r="E24" t="str">
        <f t="shared" si="0"/>
        <v>26115090</v>
      </c>
      <c r="F24"/>
    </row>
    <row r="25" spans="1:6" x14ac:dyDescent="0.25">
      <c r="A25" s="9">
        <v>24</v>
      </c>
      <c r="B25" s="9">
        <v>32</v>
      </c>
      <c r="C25" s="10" t="s">
        <v>446</v>
      </c>
      <c r="D25" s="26">
        <v>53119010</v>
      </c>
      <c r="E25" t="str">
        <f t="shared" si="0"/>
        <v>53119010</v>
      </c>
      <c r="F25"/>
    </row>
    <row r="26" spans="1:6" x14ac:dyDescent="0.25">
      <c r="A26" s="9">
        <v>25</v>
      </c>
      <c r="B26" s="9">
        <v>33</v>
      </c>
      <c r="C26" s="10" t="s">
        <v>447</v>
      </c>
      <c r="D26" s="26">
        <v>21215160</v>
      </c>
      <c r="E26" t="str">
        <f t="shared" si="0"/>
        <v>21215160</v>
      </c>
      <c r="F26"/>
    </row>
    <row r="27" spans="1:6" x14ac:dyDescent="0.25">
      <c r="A27" s="9">
        <v>26</v>
      </c>
      <c r="B27" s="9">
        <v>34</v>
      </c>
      <c r="C27" s="10" t="s">
        <v>448</v>
      </c>
      <c r="D27" s="26">
        <v>11057020</v>
      </c>
      <c r="E27" t="str">
        <f t="shared" si="0"/>
        <v>11057020</v>
      </c>
      <c r="F27"/>
    </row>
    <row r="28" spans="1:6" x14ac:dyDescent="0.25">
      <c r="A28" s="9">
        <v>27</v>
      </c>
      <c r="B28" s="9">
        <v>37</v>
      </c>
      <c r="C28" s="10" t="s">
        <v>449</v>
      </c>
      <c r="D28" s="26">
        <v>21215190</v>
      </c>
      <c r="E28" t="str">
        <f t="shared" si="0"/>
        <v>21215190</v>
      </c>
      <c r="F28"/>
    </row>
    <row r="29" spans="1:6" x14ac:dyDescent="0.25">
      <c r="A29" s="9">
        <v>28</v>
      </c>
      <c r="B29" s="9">
        <v>38</v>
      </c>
      <c r="C29" s="10" t="s">
        <v>450</v>
      </c>
      <c r="D29" s="26">
        <v>26125300</v>
      </c>
      <c r="E29" t="str">
        <f t="shared" si="0"/>
        <v>26125300</v>
      </c>
      <c r="F29"/>
    </row>
    <row r="30" spans="1:6" x14ac:dyDescent="0.25">
      <c r="A30" s="9">
        <v>29</v>
      </c>
      <c r="B30" s="9">
        <v>42</v>
      </c>
      <c r="C30" s="10" t="s">
        <v>451</v>
      </c>
      <c r="D30" s="26">
        <v>35085080</v>
      </c>
      <c r="E30" t="str">
        <f t="shared" si="0"/>
        <v>35085080</v>
      </c>
      <c r="F30"/>
    </row>
    <row r="31" spans="1:6" x14ac:dyDescent="0.25">
      <c r="A31" s="9">
        <v>30</v>
      </c>
      <c r="B31" s="9">
        <v>43</v>
      </c>
      <c r="C31" s="10" t="s">
        <v>452</v>
      </c>
      <c r="D31" s="26">
        <v>29015040</v>
      </c>
      <c r="E31" t="str">
        <f t="shared" si="0"/>
        <v>29015040</v>
      </c>
      <c r="F31"/>
    </row>
    <row r="32" spans="1:6" x14ac:dyDescent="0.25">
      <c r="A32" s="9">
        <v>31</v>
      </c>
      <c r="B32" s="9">
        <v>44</v>
      </c>
      <c r="C32" s="10" t="s">
        <v>453</v>
      </c>
      <c r="D32" s="26">
        <v>29035200</v>
      </c>
      <c r="E32" t="str">
        <f t="shared" si="0"/>
        <v>29035200</v>
      </c>
      <c r="F32"/>
    </row>
    <row r="33" spans="1:6" x14ac:dyDescent="0.25">
      <c r="A33" s="9">
        <v>32</v>
      </c>
      <c r="B33" s="9">
        <v>45</v>
      </c>
      <c r="C33" s="10" t="s">
        <v>454</v>
      </c>
      <c r="D33" s="26">
        <v>52055150</v>
      </c>
      <c r="E33" t="str">
        <f t="shared" si="0"/>
        <v>52055150</v>
      </c>
      <c r="F33"/>
    </row>
    <row r="34" spans="1:6" x14ac:dyDescent="0.25">
      <c r="A34" s="9">
        <v>33</v>
      </c>
      <c r="B34" s="9">
        <v>47</v>
      </c>
      <c r="C34" s="10" t="s">
        <v>455</v>
      </c>
      <c r="D34" s="26">
        <v>35217010</v>
      </c>
      <c r="E34" t="str">
        <f t="shared" si="0"/>
        <v>35217010</v>
      </c>
      <c r="F34"/>
    </row>
    <row r="35" spans="1:6" x14ac:dyDescent="0.25">
      <c r="A35" s="9">
        <v>34</v>
      </c>
      <c r="B35" s="9">
        <v>50</v>
      </c>
      <c r="C35" s="10" t="s">
        <v>456</v>
      </c>
      <c r="D35" s="26">
        <v>21237020</v>
      </c>
      <c r="E35" t="str">
        <f t="shared" si="0"/>
        <v>21237020</v>
      </c>
      <c r="F35"/>
    </row>
    <row r="36" spans="1:6" x14ac:dyDescent="0.25">
      <c r="A36" s="9">
        <v>35</v>
      </c>
      <c r="B36" s="9">
        <v>51</v>
      </c>
      <c r="C36" s="10" t="s">
        <v>457</v>
      </c>
      <c r="D36" s="26">
        <v>25025330</v>
      </c>
      <c r="E36" t="str">
        <f t="shared" si="0"/>
        <v>25025330</v>
      </c>
      <c r="F36"/>
    </row>
    <row r="37" spans="1:6" x14ac:dyDescent="0.25">
      <c r="A37" s="9">
        <v>36</v>
      </c>
      <c r="B37" s="9">
        <v>53</v>
      </c>
      <c r="C37" s="10" t="s">
        <v>458</v>
      </c>
      <c r="D37" s="26">
        <v>52017001</v>
      </c>
      <c r="E37" t="str">
        <f t="shared" si="0"/>
        <v>52017001</v>
      </c>
      <c r="F37"/>
    </row>
    <row r="38" spans="1:6" x14ac:dyDescent="0.25">
      <c r="A38" s="9">
        <v>37</v>
      </c>
      <c r="B38" s="9">
        <v>56</v>
      </c>
      <c r="C38" s="10" t="s">
        <v>459</v>
      </c>
      <c r="D38" s="26">
        <v>2604500039</v>
      </c>
      <c r="E38" t="str">
        <f t="shared" si="0"/>
        <v>2604500039</v>
      </c>
      <c r="F38"/>
    </row>
    <row r="39" spans="1:6" x14ac:dyDescent="0.25">
      <c r="A39" s="9">
        <v>38</v>
      </c>
      <c r="B39" s="9">
        <v>57</v>
      </c>
      <c r="C39" s="10" t="s">
        <v>460</v>
      </c>
      <c r="D39" s="26">
        <v>21205910</v>
      </c>
      <c r="E39" t="str">
        <f t="shared" si="0"/>
        <v>21205910</v>
      </c>
      <c r="F39"/>
    </row>
    <row r="40" spans="1:6" x14ac:dyDescent="0.25">
      <c r="A40" s="9">
        <v>39</v>
      </c>
      <c r="B40" s="9">
        <v>58</v>
      </c>
      <c r="C40" s="10" t="s">
        <v>461</v>
      </c>
      <c r="D40" s="26">
        <v>26225060</v>
      </c>
      <c r="E40" t="str">
        <f t="shared" si="0"/>
        <v>26225060</v>
      </c>
      <c r="F40"/>
    </row>
    <row r="41" spans="1:6" x14ac:dyDescent="0.25">
      <c r="A41" s="9">
        <v>40</v>
      </c>
      <c r="B41" s="9">
        <v>59</v>
      </c>
      <c r="C41" s="10" t="s">
        <v>462</v>
      </c>
      <c r="D41" s="26">
        <v>22045010</v>
      </c>
      <c r="E41" t="str">
        <f t="shared" si="0"/>
        <v>22045010</v>
      </c>
      <c r="F41"/>
    </row>
    <row r="42" spans="1:6" x14ac:dyDescent="0.25">
      <c r="A42" s="9">
        <v>41</v>
      </c>
      <c r="B42" s="9">
        <v>60</v>
      </c>
      <c r="C42" s="10" t="s">
        <v>819</v>
      </c>
      <c r="D42" s="26">
        <v>52010020</v>
      </c>
      <c r="E42" t="str">
        <f t="shared" si="0"/>
        <v>52010020</v>
      </c>
      <c r="F42"/>
    </row>
    <row r="43" spans="1:6" x14ac:dyDescent="0.25">
      <c r="A43" s="9">
        <v>42</v>
      </c>
      <c r="B43" s="9">
        <v>62</v>
      </c>
      <c r="C43" s="10" t="s">
        <v>464</v>
      </c>
      <c r="D43" s="26">
        <v>26075120</v>
      </c>
      <c r="E43" t="str">
        <f t="shared" si="0"/>
        <v>26075120</v>
      </c>
      <c r="F43"/>
    </row>
    <row r="44" spans="1:6" x14ac:dyDescent="0.25">
      <c r="A44" s="9">
        <v>43</v>
      </c>
      <c r="B44" s="9">
        <v>63</v>
      </c>
      <c r="C44" s="10" t="s">
        <v>465</v>
      </c>
      <c r="D44" s="26">
        <v>53075020</v>
      </c>
      <c r="E44" t="str">
        <f t="shared" si="0"/>
        <v>53075020</v>
      </c>
      <c r="F44"/>
    </row>
    <row r="45" spans="1:6" x14ac:dyDescent="0.25">
      <c r="A45" s="9">
        <v>44</v>
      </c>
      <c r="B45" s="9">
        <v>64</v>
      </c>
      <c r="C45" s="10" t="s">
        <v>466</v>
      </c>
      <c r="D45" s="26">
        <v>2403500041</v>
      </c>
      <c r="E45" t="str">
        <f t="shared" si="0"/>
        <v>2403500041</v>
      </c>
      <c r="F45"/>
    </row>
    <row r="46" spans="1:6" x14ac:dyDescent="0.25">
      <c r="A46" s="9">
        <v>45</v>
      </c>
      <c r="B46" s="9">
        <v>66</v>
      </c>
      <c r="C46" s="10" t="s">
        <v>467</v>
      </c>
      <c r="D46" s="26">
        <v>24035370</v>
      </c>
      <c r="E46" t="str">
        <f t="shared" si="0"/>
        <v>24035370</v>
      </c>
      <c r="F46"/>
    </row>
    <row r="47" spans="1:6" x14ac:dyDescent="0.25">
      <c r="A47" s="9">
        <v>46</v>
      </c>
      <c r="B47" s="9">
        <v>67</v>
      </c>
      <c r="C47" s="10" t="s">
        <v>468</v>
      </c>
      <c r="D47" s="26">
        <v>52025080</v>
      </c>
      <c r="E47" t="str">
        <f t="shared" si="0"/>
        <v>52025080</v>
      </c>
      <c r="F47"/>
    </row>
    <row r="48" spans="1:6" x14ac:dyDescent="0.25">
      <c r="A48" s="9">
        <v>47</v>
      </c>
      <c r="B48" s="9">
        <v>68</v>
      </c>
      <c r="C48" s="10" t="s">
        <v>469</v>
      </c>
      <c r="D48" s="26">
        <v>26055100</v>
      </c>
      <c r="E48" t="str">
        <f t="shared" si="0"/>
        <v>26055100</v>
      </c>
      <c r="F48"/>
    </row>
    <row r="49" spans="1:6" x14ac:dyDescent="0.25">
      <c r="A49" s="9">
        <v>48</v>
      </c>
      <c r="B49" s="9">
        <v>69</v>
      </c>
      <c r="C49" s="10" t="s">
        <v>470</v>
      </c>
      <c r="D49" s="26">
        <v>28035060</v>
      </c>
      <c r="E49" t="str">
        <f t="shared" si="0"/>
        <v>28035060</v>
      </c>
      <c r="F49"/>
    </row>
    <row r="50" spans="1:6" x14ac:dyDescent="0.25">
      <c r="A50" s="9">
        <v>49</v>
      </c>
      <c r="B50" s="9">
        <v>70</v>
      </c>
      <c r="C50" s="10" t="s">
        <v>471</v>
      </c>
      <c r="D50" s="26">
        <v>44035040</v>
      </c>
      <c r="E50" t="str">
        <f t="shared" si="0"/>
        <v>44035040</v>
      </c>
      <c r="F50"/>
    </row>
    <row r="51" spans="1:6" x14ac:dyDescent="0.25">
      <c r="A51" s="9">
        <v>50</v>
      </c>
      <c r="B51" s="9">
        <v>71</v>
      </c>
      <c r="C51" s="10" t="s">
        <v>472</v>
      </c>
      <c r="D51" s="26">
        <v>44037040</v>
      </c>
      <c r="E51" t="str">
        <f t="shared" si="0"/>
        <v>44037040</v>
      </c>
      <c r="F51"/>
    </row>
    <row r="52" spans="1:6" x14ac:dyDescent="0.25">
      <c r="A52" s="9">
        <v>51</v>
      </c>
      <c r="B52" s="9">
        <v>72</v>
      </c>
      <c r="C52" s="10" t="s">
        <v>473</v>
      </c>
      <c r="D52" s="26">
        <v>29004520</v>
      </c>
      <c r="E52" t="str">
        <f t="shared" si="0"/>
        <v>29004520</v>
      </c>
      <c r="F52"/>
    </row>
    <row r="53" spans="1:6" x14ac:dyDescent="0.25">
      <c r="A53" s="9">
        <v>52</v>
      </c>
      <c r="B53" s="9">
        <v>73</v>
      </c>
      <c r="C53" s="10" t="s">
        <v>474</v>
      </c>
      <c r="D53" s="26">
        <v>24015300</v>
      </c>
      <c r="E53" t="str">
        <f t="shared" si="0"/>
        <v>24015300</v>
      </c>
      <c r="F53"/>
    </row>
    <row r="54" spans="1:6" x14ac:dyDescent="0.25">
      <c r="A54" s="9">
        <v>53</v>
      </c>
      <c r="B54" s="9">
        <v>74</v>
      </c>
      <c r="C54" s="10" t="s">
        <v>475</v>
      </c>
      <c r="D54" s="26">
        <v>3507500046</v>
      </c>
      <c r="E54" t="str">
        <f t="shared" si="0"/>
        <v>3507500046</v>
      </c>
      <c r="F54"/>
    </row>
    <row r="55" spans="1:6" x14ac:dyDescent="0.25">
      <c r="A55" s="9">
        <v>54</v>
      </c>
      <c r="B55" s="9">
        <v>75</v>
      </c>
      <c r="C55" s="10" t="s">
        <v>476</v>
      </c>
      <c r="D55" s="26">
        <v>29065130</v>
      </c>
      <c r="E55" t="str">
        <f t="shared" si="0"/>
        <v>29065130</v>
      </c>
      <c r="F55"/>
    </row>
    <row r="56" spans="1:6" x14ac:dyDescent="0.25">
      <c r="A56" s="9">
        <v>55</v>
      </c>
      <c r="B56" s="9">
        <v>76</v>
      </c>
      <c r="C56" s="10" t="s">
        <v>477</v>
      </c>
      <c r="D56" s="26">
        <v>21015070</v>
      </c>
      <c r="E56" t="str">
        <f t="shared" si="0"/>
        <v>21015070</v>
      </c>
      <c r="F56"/>
    </row>
    <row r="57" spans="1:6" x14ac:dyDescent="0.25">
      <c r="A57" s="9">
        <v>56</v>
      </c>
      <c r="B57" s="9">
        <v>77</v>
      </c>
      <c r="C57" s="10" t="s">
        <v>478</v>
      </c>
      <c r="D57" s="26">
        <v>1602500063</v>
      </c>
      <c r="E57" t="str">
        <f t="shared" si="0"/>
        <v>1602500063</v>
      </c>
      <c r="F57"/>
    </row>
    <row r="58" spans="1:6" x14ac:dyDescent="0.25">
      <c r="A58" s="9">
        <v>57</v>
      </c>
      <c r="B58" s="9">
        <v>79</v>
      </c>
      <c r="C58" s="10" t="s">
        <v>479</v>
      </c>
      <c r="D58" s="26">
        <v>29065000</v>
      </c>
      <c r="E58" t="str">
        <f t="shared" si="0"/>
        <v>29065000</v>
      </c>
      <c r="F58"/>
    </row>
    <row r="59" spans="1:6" x14ac:dyDescent="0.25">
      <c r="A59" s="9">
        <v>58</v>
      </c>
      <c r="B59" s="9">
        <v>80</v>
      </c>
      <c r="C59" s="10" t="s">
        <v>480</v>
      </c>
      <c r="D59" s="26">
        <v>3206500045</v>
      </c>
      <c r="E59" t="str">
        <f t="shared" si="0"/>
        <v>3206500045</v>
      </c>
      <c r="F59"/>
    </row>
    <row r="60" spans="1:6" x14ac:dyDescent="0.25">
      <c r="A60" s="9">
        <v>59</v>
      </c>
      <c r="B60" s="9">
        <v>81</v>
      </c>
      <c r="C60" s="10" t="s">
        <v>481</v>
      </c>
      <c r="D60" s="26">
        <v>35095110</v>
      </c>
      <c r="E60" t="str">
        <f t="shared" si="0"/>
        <v>35095110</v>
      </c>
      <c r="F60"/>
    </row>
    <row r="61" spans="1:6" x14ac:dyDescent="0.25">
      <c r="A61" s="9">
        <v>60</v>
      </c>
      <c r="B61" s="9">
        <v>82</v>
      </c>
      <c r="C61" s="10" t="s">
        <v>482</v>
      </c>
      <c r="D61" s="26">
        <v>35035100</v>
      </c>
      <c r="E61" t="str">
        <f t="shared" si="0"/>
        <v>35035100</v>
      </c>
      <c r="F61"/>
    </row>
    <row r="62" spans="1:6" x14ac:dyDescent="0.25">
      <c r="A62" s="9">
        <v>61</v>
      </c>
      <c r="B62" s="9">
        <v>85</v>
      </c>
      <c r="C62" s="10" t="s">
        <v>483</v>
      </c>
      <c r="D62" s="26">
        <v>26055110</v>
      </c>
      <c r="E62" t="str">
        <f t="shared" si="0"/>
        <v>26055110</v>
      </c>
      <c r="F62"/>
    </row>
    <row r="63" spans="1:6" x14ac:dyDescent="0.25">
      <c r="A63" s="9">
        <v>62</v>
      </c>
      <c r="B63" s="9">
        <v>87</v>
      </c>
      <c r="C63" s="10" t="s">
        <v>484</v>
      </c>
      <c r="D63" s="26">
        <v>21055070</v>
      </c>
      <c r="E63" t="str">
        <f t="shared" si="0"/>
        <v>21055070</v>
      </c>
      <c r="F63"/>
    </row>
    <row r="64" spans="1:6" x14ac:dyDescent="0.25">
      <c r="A64" s="9">
        <v>63</v>
      </c>
      <c r="B64" s="9">
        <v>88</v>
      </c>
      <c r="C64" s="10" t="s">
        <v>485</v>
      </c>
      <c r="D64" s="26">
        <v>21195120</v>
      </c>
      <c r="E64" t="str">
        <f t="shared" si="0"/>
        <v>21195120</v>
      </c>
      <c r="F64"/>
    </row>
    <row r="65" spans="1:6" x14ac:dyDescent="0.25">
      <c r="A65" s="9">
        <v>64</v>
      </c>
      <c r="B65" s="9">
        <v>91</v>
      </c>
      <c r="C65" s="10" t="s">
        <v>486</v>
      </c>
      <c r="D65" s="26">
        <v>25025360</v>
      </c>
      <c r="E65" t="str">
        <f t="shared" si="0"/>
        <v>25025360</v>
      </c>
      <c r="F65"/>
    </row>
    <row r="66" spans="1:6" x14ac:dyDescent="0.25">
      <c r="A66" s="9">
        <v>65</v>
      </c>
      <c r="B66" s="9">
        <v>93</v>
      </c>
      <c r="C66" s="10" t="s">
        <v>487</v>
      </c>
      <c r="D66" s="26">
        <v>28025130</v>
      </c>
      <c r="E66" t="str">
        <f t="shared" si="0"/>
        <v>28025130</v>
      </c>
      <c r="F66"/>
    </row>
    <row r="67" spans="1:6" x14ac:dyDescent="0.25">
      <c r="A67" s="9">
        <v>66</v>
      </c>
      <c r="B67" s="9">
        <v>94</v>
      </c>
      <c r="C67" s="10" t="s">
        <v>488</v>
      </c>
      <c r="D67" s="26">
        <v>23085260</v>
      </c>
      <c r="E67" t="str">
        <f t="shared" ref="E67:E130" si="1">MID(C67, SEARCH("[", C67) + 1, SEARCH(";", C67 &amp; ";") - SEARCH("[", C67) - 1)</f>
        <v>23085260</v>
      </c>
      <c r="F67"/>
    </row>
    <row r="68" spans="1:6" x14ac:dyDescent="0.25">
      <c r="A68" s="9">
        <v>67</v>
      </c>
      <c r="B68" s="9">
        <v>95</v>
      </c>
      <c r="C68" s="10" t="s">
        <v>489</v>
      </c>
      <c r="D68" s="26">
        <v>52047020</v>
      </c>
      <c r="E68" t="str">
        <f t="shared" si="1"/>
        <v>52047020</v>
      </c>
      <c r="F68"/>
    </row>
    <row r="69" spans="1:6" x14ac:dyDescent="0.25">
      <c r="A69" s="9">
        <v>68</v>
      </c>
      <c r="B69" s="9">
        <v>96</v>
      </c>
      <c r="C69" s="10" t="s">
        <v>490</v>
      </c>
      <c r="D69" s="26">
        <v>26135330</v>
      </c>
      <c r="E69" t="str">
        <f t="shared" si="1"/>
        <v>26135330</v>
      </c>
      <c r="F69"/>
    </row>
    <row r="70" spans="1:6" x14ac:dyDescent="0.25">
      <c r="A70" s="9">
        <v>69</v>
      </c>
      <c r="B70" s="9">
        <v>98</v>
      </c>
      <c r="C70" s="10" t="s">
        <v>491</v>
      </c>
      <c r="D70" s="26">
        <v>3206500058</v>
      </c>
      <c r="E70" t="str">
        <f t="shared" si="1"/>
        <v>3206500058</v>
      </c>
      <c r="F70"/>
    </row>
    <row r="71" spans="1:6" x14ac:dyDescent="0.25">
      <c r="A71" s="9">
        <v>70</v>
      </c>
      <c r="B71" s="9">
        <v>99</v>
      </c>
      <c r="C71" s="10" t="s">
        <v>492</v>
      </c>
      <c r="D71" s="26">
        <v>35025110</v>
      </c>
      <c r="E71" t="str">
        <f t="shared" si="1"/>
        <v>35025110</v>
      </c>
      <c r="F71"/>
    </row>
    <row r="72" spans="1:6" x14ac:dyDescent="0.25">
      <c r="A72" s="9">
        <v>71</v>
      </c>
      <c r="B72" s="9">
        <v>100</v>
      </c>
      <c r="C72" s="10" t="s">
        <v>493</v>
      </c>
      <c r="D72" s="26">
        <v>11035010</v>
      </c>
      <c r="E72" t="str">
        <f t="shared" si="1"/>
        <v>11035010</v>
      </c>
      <c r="F72"/>
    </row>
    <row r="73" spans="1:6" x14ac:dyDescent="0.25">
      <c r="A73" s="9">
        <v>72</v>
      </c>
      <c r="B73" s="9">
        <v>101</v>
      </c>
      <c r="C73" s="10" t="s">
        <v>494</v>
      </c>
      <c r="D73" s="26">
        <v>44035050</v>
      </c>
      <c r="E73" t="str">
        <f t="shared" si="1"/>
        <v>44035050</v>
      </c>
      <c r="F73"/>
    </row>
    <row r="74" spans="1:6" x14ac:dyDescent="0.25">
      <c r="A74" s="9">
        <v>73</v>
      </c>
      <c r="B74" s="9">
        <v>102</v>
      </c>
      <c r="C74" s="10" t="s">
        <v>495</v>
      </c>
      <c r="D74" s="26">
        <v>23105070</v>
      </c>
      <c r="E74" t="str">
        <f t="shared" si="1"/>
        <v>23105070</v>
      </c>
      <c r="F74"/>
    </row>
    <row r="75" spans="1:6" x14ac:dyDescent="0.25">
      <c r="A75" s="9">
        <v>74</v>
      </c>
      <c r="B75" s="9">
        <v>103</v>
      </c>
      <c r="C75" s="10" t="s">
        <v>496</v>
      </c>
      <c r="D75" s="26">
        <v>24030950</v>
      </c>
      <c r="E75" t="str">
        <f t="shared" si="1"/>
        <v>24030950</v>
      </c>
      <c r="F75"/>
    </row>
    <row r="76" spans="1:6" x14ac:dyDescent="0.25">
      <c r="A76" s="9">
        <v>75</v>
      </c>
      <c r="B76" s="9">
        <v>105</v>
      </c>
      <c r="C76" s="10" t="s">
        <v>497</v>
      </c>
      <c r="D76" s="26">
        <v>2302500064</v>
      </c>
      <c r="E76" t="str">
        <f t="shared" si="1"/>
        <v>2302500064</v>
      </c>
      <c r="F76"/>
    </row>
    <row r="77" spans="1:6" x14ac:dyDescent="0.25">
      <c r="A77" s="9">
        <v>76</v>
      </c>
      <c r="B77" s="9">
        <v>106</v>
      </c>
      <c r="C77" s="10" t="s">
        <v>498</v>
      </c>
      <c r="D77" s="26">
        <v>21015020</v>
      </c>
      <c r="E77" t="str">
        <f t="shared" si="1"/>
        <v>21015020</v>
      </c>
      <c r="F77"/>
    </row>
    <row r="78" spans="1:6" x14ac:dyDescent="0.25">
      <c r="A78" s="9">
        <v>77</v>
      </c>
      <c r="B78" s="9">
        <v>109</v>
      </c>
      <c r="C78" s="10" t="s">
        <v>499</v>
      </c>
      <c r="D78" s="26">
        <v>21205660</v>
      </c>
      <c r="E78" t="str">
        <f t="shared" si="1"/>
        <v>21205660</v>
      </c>
      <c r="F78"/>
    </row>
    <row r="79" spans="1:6" x14ac:dyDescent="0.25">
      <c r="A79" s="9">
        <v>78</v>
      </c>
      <c r="B79" s="9">
        <v>110</v>
      </c>
      <c r="C79" s="10" t="s">
        <v>500</v>
      </c>
      <c r="D79" s="26">
        <v>27015310</v>
      </c>
      <c r="E79" t="str">
        <f t="shared" si="1"/>
        <v>27015310</v>
      </c>
      <c r="F79"/>
    </row>
    <row r="80" spans="1:6" x14ac:dyDescent="0.25">
      <c r="A80" s="9">
        <v>79</v>
      </c>
      <c r="B80" s="9">
        <v>111</v>
      </c>
      <c r="C80" s="10" t="s">
        <v>501</v>
      </c>
      <c r="D80" s="26">
        <v>24025090</v>
      </c>
      <c r="E80" t="str">
        <f t="shared" si="1"/>
        <v>24025090</v>
      </c>
      <c r="F80"/>
    </row>
    <row r="81" spans="1:6" x14ac:dyDescent="0.25">
      <c r="A81" s="9">
        <v>80</v>
      </c>
      <c r="B81" s="9">
        <v>112</v>
      </c>
      <c r="C81" s="10" t="s">
        <v>502</v>
      </c>
      <c r="D81" s="26">
        <v>25017010</v>
      </c>
      <c r="E81" t="str">
        <f t="shared" si="1"/>
        <v>25017010</v>
      </c>
      <c r="F81"/>
    </row>
    <row r="82" spans="1:6" x14ac:dyDescent="0.25">
      <c r="A82" s="9">
        <v>81</v>
      </c>
      <c r="B82" s="9">
        <v>113</v>
      </c>
      <c r="C82" s="10" t="s">
        <v>503</v>
      </c>
      <c r="D82" s="26">
        <v>13067020</v>
      </c>
      <c r="E82" t="str">
        <f t="shared" si="1"/>
        <v>13067020</v>
      </c>
      <c r="F82"/>
    </row>
    <row r="83" spans="1:6" x14ac:dyDescent="0.25">
      <c r="A83" s="9">
        <v>82</v>
      </c>
      <c r="B83" s="9">
        <v>114</v>
      </c>
      <c r="C83" s="10" t="s">
        <v>504</v>
      </c>
      <c r="D83" s="26">
        <v>21167080</v>
      </c>
      <c r="E83" t="str">
        <f t="shared" si="1"/>
        <v>21167080</v>
      </c>
      <c r="F83"/>
    </row>
    <row r="84" spans="1:6" x14ac:dyDescent="0.25">
      <c r="A84" s="9">
        <v>83</v>
      </c>
      <c r="B84" s="9">
        <v>116</v>
      </c>
      <c r="C84" s="10" t="s">
        <v>505</v>
      </c>
      <c r="D84" s="26">
        <v>21185090</v>
      </c>
      <c r="E84" t="str">
        <f t="shared" si="1"/>
        <v>21185090</v>
      </c>
      <c r="F84"/>
    </row>
    <row r="85" spans="1:6" x14ac:dyDescent="0.25">
      <c r="A85" s="9">
        <v>84</v>
      </c>
      <c r="B85" s="9">
        <v>118</v>
      </c>
      <c r="C85" s="10" t="s">
        <v>506</v>
      </c>
      <c r="D85" s="26">
        <v>26135320</v>
      </c>
      <c r="E85" t="str">
        <f t="shared" si="1"/>
        <v>26135320</v>
      </c>
      <c r="F85"/>
    </row>
    <row r="86" spans="1:6" x14ac:dyDescent="0.25">
      <c r="A86" s="9">
        <v>85</v>
      </c>
      <c r="B86" s="9">
        <v>119</v>
      </c>
      <c r="C86" s="10" t="s">
        <v>507</v>
      </c>
      <c r="D86" s="26">
        <v>24035380</v>
      </c>
      <c r="E86" t="str">
        <f t="shared" si="1"/>
        <v>24035380</v>
      </c>
      <c r="F86"/>
    </row>
    <row r="87" spans="1:6" x14ac:dyDescent="0.25">
      <c r="A87" s="9">
        <v>86</v>
      </c>
      <c r="B87" s="9">
        <v>120</v>
      </c>
      <c r="C87" s="10" t="s">
        <v>508</v>
      </c>
      <c r="D87" s="26">
        <v>21215150</v>
      </c>
      <c r="E87" t="str">
        <f t="shared" si="1"/>
        <v>21215150</v>
      </c>
      <c r="F87"/>
    </row>
    <row r="88" spans="1:6" x14ac:dyDescent="0.25">
      <c r="A88" s="9">
        <v>87</v>
      </c>
      <c r="B88" s="9">
        <v>121</v>
      </c>
      <c r="C88" s="10" t="s">
        <v>509</v>
      </c>
      <c r="D88" s="26">
        <v>29035080</v>
      </c>
      <c r="E88" t="str">
        <f t="shared" si="1"/>
        <v>29035080</v>
      </c>
      <c r="F88"/>
    </row>
    <row r="89" spans="1:6" x14ac:dyDescent="0.25">
      <c r="A89" s="9">
        <v>88</v>
      </c>
      <c r="B89" s="9">
        <v>122</v>
      </c>
      <c r="C89" s="10" t="s">
        <v>510</v>
      </c>
      <c r="D89" s="26">
        <v>21206600</v>
      </c>
      <c r="E89" t="str">
        <f t="shared" si="1"/>
        <v>21206600</v>
      </c>
      <c r="F89"/>
    </row>
    <row r="90" spans="1:6" x14ac:dyDescent="0.25">
      <c r="A90" s="9">
        <v>89</v>
      </c>
      <c r="B90" s="9">
        <v>125</v>
      </c>
      <c r="C90" s="10" t="s">
        <v>511</v>
      </c>
      <c r="D90" s="26">
        <v>21255160</v>
      </c>
      <c r="E90" t="str">
        <f t="shared" si="1"/>
        <v>21255160</v>
      </c>
      <c r="F90"/>
    </row>
    <row r="91" spans="1:6" x14ac:dyDescent="0.25">
      <c r="A91" s="9">
        <v>90</v>
      </c>
      <c r="B91" s="9">
        <v>126</v>
      </c>
      <c r="C91" s="10" t="s">
        <v>512</v>
      </c>
      <c r="D91" s="26">
        <v>23035030</v>
      </c>
      <c r="E91" t="str">
        <f t="shared" si="1"/>
        <v>23035030</v>
      </c>
      <c r="F91"/>
    </row>
    <row r="92" spans="1:6" x14ac:dyDescent="0.25">
      <c r="A92" s="9">
        <v>91</v>
      </c>
      <c r="B92" s="9">
        <v>129</v>
      </c>
      <c r="C92" s="10" t="s">
        <v>513</v>
      </c>
      <c r="D92" s="26">
        <v>21195170</v>
      </c>
      <c r="E92" t="str">
        <f t="shared" si="1"/>
        <v>21195170</v>
      </c>
      <c r="F92"/>
    </row>
    <row r="93" spans="1:6" x14ac:dyDescent="0.25">
      <c r="A93" s="9">
        <v>92</v>
      </c>
      <c r="B93" s="9">
        <v>130</v>
      </c>
      <c r="C93" s="10" t="s">
        <v>514</v>
      </c>
      <c r="D93" s="26">
        <v>24035390</v>
      </c>
      <c r="E93" t="str">
        <f t="shared" si="1"/>
        <v>24035390</v>
      </c>
      <c r="F93"/>
    </row>
    <row r="94" spans="1:6" x14ac:dyDescent="0.25">
      <c r="A94" s="9">
        <v>93</v>
      </c>
      <c r="B94" s="9">
        <v>131</v>
      </c>
      <c r="C94" s="10" t="s">
        <v>515</v>
      </c>
      <c r="D94" s="26">
        <v>22075050</v>
      </c>
      <c r="E94" t="str">
        <f t="shared" si="1"/>
        <v>22075050</v>
      </c>
      <c r="F94"/>
    </row>
    <row r="95" spans="1:6" x14ac:dyDescent="0.25">
      <c r="A95" s="9">
        <v>94</v>
      </c>
      <c r="B95" s="9">
        <v>132</v>
      </c>
      <c r="C95" s="10" t="s">
        <v>516</v>
      </c>
      <c r="D95" s="26">
        <v>52055220</v>
      </c>
      <c r="E95" t="str">
        <f t="shared" si="1"/>
        <v>52055220</v>
      </c>
      <c r="F95"/>
    </row>
    <row r="96" spans="1:6" x14ac:dyDescent="0.25">
      <c r="A96" s="9">
        <v>95</v>
      </c>
      <c r="B96" s="9">
        <v>133</v>
      </c>
      <c r="C96" s="10" t="s">
        <v>517</v>
      </c>
      <c r="D96" s="26">
        <v>27015280</v>
      </c>
      <c r="E96" t="str">
        <f t="shared" si="1"/>
        <v>27015280</v>
      </c>
      <c r="F96"/>
    </row>
    <row r="97" spans="1:6" x14ac:dyDescent="0.25">
      <c r="A97" s="9">
        <v>96</v>
      </c>
      <c r="B97" s="9">
        <v>135</v>
      </c>
      <c r="C97" s="10" t="s">
        <v>518</v>
      </c>
      <c r="D97" s="26">
        <v>21195190</v>
      </c>
      <c r="E97" t="str">
        <f t="shared" si="1"/>
        <v>21195190</v>
      </c>
      <c r="F97"/>
    </row>
    <row r="98" spans="1:6" x14ac:dyDescent="0.25">
      <c r="A98" s="9">
        <v>97</v>
      </c>
      <c r="B98" s="9">
        <v>136</v>
      </c>
      <c r="C98" s="10" t="s">
        <v>519</v>
      </c>
      <c r="D98" s="26">
        <v>24037190</v>
      </c>
      <c r="E98" t="str">
        <f t="shared" si="1"/>
        <v>24037190</v>
      </c>
      <c r="F98"/>
    </row>
    <row r="99" spans="1:6" x14ac:dyDescent="0.25">
      <c r="A99" s="9">
        <v>98</v>
      </c>
      <c r="B99" s="9">
        <v>139</v>
      </c>
      <c r="C99" s="10" t="s">
        <v>520</v>
      </c>
      <c r="D99" s="26">
        <v>2319500065</v>
      </c>
      <c r="E99" t="str">
        <f t="shared" si="1"/>
        <v>2319500065</v>
      </c>
      <c r="F99"/>
    </row>
    <row r="100" spans="1:6" x14ac:dyDescent="0.25">
      <c r="A100" s="9">
        <v>99</v>
      </c>
      <c r="B100" s="9">
        <v>140</v>
      </c>
      <c r="C100" s="10" t="s">
        <v>521</v>
      </c>
      <c r="D100" s="26">
        <v>22057010</v>
      </c>
      <c r="E100" t="str">
        <f t="shared" si="1"/>
        <v>22057010</v>
      </c>
      <c r="F100"/>
    </row>
    <row r="101" spans="1:6" x14ac:dyDescent="0.25">
      <c r="A101" s="9">
        <v>100</v>
      </c>
      <c r="B101" s="9">
        <v>141</v>
      </c>
      <c r="C101" s="10" t="s">
        <v>522</v>
      </c>
      <c r="D101" s="26">
        <v>12015100</v>
      </c>
      <c r="E101" t="str">
        <f t="shared" si="1"/>
        <v>12015100</v>
      </c>
      <c r="F101"/>
    </row>
    <row r="102" spans="1:6" x14ac:dyDescent="0.25">
      <c r="A102" s="9">
        <v>101</v>
      </c>
      <c r="B102" s="9">
        <v>142</v>
      </c>
      <c r="C102" s="10" t="s">
        <v>523</v>
      </c>
      <c r="D102" s="26">
        <v>26105240</v>
      </c>
      <c r="E102" t="str">
        <f t="shared" si="1"/>
        <v>26105240</v>
      </c>
      <c r="F102"/>
    </row>
    <row r="103" spans="1:6" x14ac:dyDescent="0.25">
      <c r="A103" s="9">
        <v>102</v>
      </c>
      <c r="B103" s="9">
        <v>143</v>
      </c>
      <c r="C103" s="10" t="s">
        <v>524</v>
      </c>
      <c r="D103" s="26">
        <v>25025190</v>
      </c>
      <c r="E103" t="str">
        <f t="shared" si="1"/>
        <v>25025190</v>
      </c>
      <c r="F103"/>
    </row>
    <row r="104" spans="1:6" x14ac:dyDescent="0.25">
      <c r="A104" s="9">
        <v>103</v>
      </c>
      <c r="B104" s="9">
        <v>144</v>
      </c>
      <c r="C104" s="10" t="s">
        <v>525</v>
      </c>
      <c r="D104" s="26">
        <v>21115170</v>
      </c>
      <c r="E104" t="str">
        <f t="shared" si="1"/>
        <v>21115170</v>
      </c>
      <c r="F104"/>
    </row>
    <row r="105" spans="1:6" x14ac:dyDescent="0.25">
      <c r="A105" s="9">
        <v>104</v>
      </c>
      <c r="B105" s="9">
        <v>145</v>
      </c>
      <c r="C105" s="10" t="s">
        <v>526</v>
      </c>
      <c r="D105" s="26">
        <v>26155250</v>
      </c>
      <c r="E105" t="str">
        <f t="shared" si="1"/>
        <v>26155250</v>
      </c>
      <c r="F105"/>
    </row>
    <row r="106" spans="1:6" x14ac:dyDescent="0.25">
      <c r="A106" s="9">
        <v>105</v>
      </c>
      <c r="B106" s="9">
        <v>146</v>
      </c>
      <c r="C106" s="10" t="s">
        <v>527</v>
      </c>
      <c r="D106" s="26">
        <v>35025080</v>
      </c>
      <c r="E106" t="str">
        <f t="shared" si="1"/>
        <v>35025080</v>
      </c>
      <c r="F106"/>
    </row>
    <row r="107" spans="1:6" x14ac:dyDescent="0.25">
      <c r="A107" s="9">
        <v>106</v>
      </c>
      <c r="B107" s="9">
        <v>147</v>
      </c>
      <c r="C107" s="10" t="s">
        <v>528</v>
      </c>
      <c r="D107" s="26">
        <v>26155240</v>
      </c>
      <c r="E107" t="str">
        <f t="shared" si="1"/>
        <v>26155240</v>
      </c>
      <c r="F107"/>
    </row>
    <row r="108" spans="1:6" x14ac:dyDescent="0.25">
      <c r="A108" s="9">
        <v>107</v>
      </c>
      <c r="B108" s="9">
        <v>148</v>
      </c>
      <c r="C108" s="10" t="s">
        <v>529</v>
      </c>
      <c r="D108" s="26">
        <v>26015030</v>
      </c>
      <c r="E108" t="str">
        <f t="shared" si="1"/>
        <v>26015030</v>
      </c>
      <c r="F108"/>
    </row>
    <row r="109" spans="1:6" x14ac:dyDescent="0.25">
      <c r="A109" s="9">
        <v>108</v>
      </c>
      <c r="B109" s="9">
        <v>149</v>
      </c>
      <c r="C109" s="10" t="s">
        <v>530</v>
      </c>
      <c r="D109" s="26">
        <v>26135300</v>
      </c>
      <c r="E109" t="str">
        <f t="shared" si="1"/>
        <v>26135300</v>
      </c>
      <c r="F109"/>
    </row>
    <row r="110" spans="1:6" x14ac:dyDescent="0.25">
      <c r="A110" s="9">
        <v>109</v>
      </c>
      <c r="B110" s="9">
        <v>152</v>
      </c>
      <c r="C110" s="10" t="s">
        <v>531</v>
      </c>
      <c r="D110" s="26">
        <v>35035130</v>
      </c>
      <c r="E110" t="str">
        <f t="shared" si="1"/>
        <v>35035130</v>
      </c>
      <c r="F110"/>
    </row>
    <row r="111" spans="1:6" x14ac:dyDescent="0.25">
      <c r="A111" s="9">
        <v>110</v>
      </c>
      <c r="B111" s="9">
        <v>153</v>
      </c>
      <c r="C111" s="10" t="s">
        <v>532</v>
      </c>
      <c r="D111" s="26">
        <v>21206930</v>
      </c>
      <c r="E111" t="str">
        <f t="shared" si="1"/>
        <v>21206930</v>
      </c>
      <c r="F111"/>
    </row>
    <row r="112" spans="1:6" x14ac:dyDescent="0.25">
      <c r="A112" s="9">
        <v>111</v>
      </c>
      <c r="B112" s="9">
        <v>154</v>
      </c>
      <c r="C112" s="10" t="s">
        <v>533</v>
      </c>
      <c r="D112" s="26">
        <v>35075080</v>
      </c>
      <c r="E112" t="str">
        <f t="shared" si="1"/>
        <v>35075080</v>
      </c>
      <c r="F112"/>
    </row>
    <row r="113" spans="1:6" x14ac:dyDescent="0.25">
      <c r="A113" s="9">
        <v>112</v>
      </c>
      <c r="B113" s="9">
        <v>155</v>
      </c>
      <c r="C113" s="10" t="s">
        <v>534</v>
      </c>
      <c r="D113" s="26">
        <v>21197010</v>
      </c>
      <c r="E113" t="str">
        <f t="shared" si="1"/>
        <v>21197010</v>
      </c>
      <c r="F113"/>
    </row>
    <row r="114" spans="1:6" x14ac:dyDescent="0.25">
      <c r="A114" s="9">
        <v>113</v>
      </c>
      <c r="B114" s="9">
        <v>157</v>
      </c>
      <c r="C114" s="10" t="s">
        <v>535</v>
      </c>
      <c r="D114" s="26">
        <v>35037100</v>
      </c>
      <c r="E114" t="str">
        <f t="shared" si="1"/>
        <v>35037100</v>
      </c>
      <c r="F114"/>
    </row>
    <row r="115" spans="1:6" x14ac:dyDescent="0.25">
      <c r="A115" s="9">
        <v>114</v>
      </c>
      <c r="B115" s="9">
        <v>158</v>
      </c>
      <c r="C115" s="10" t="s">
        <v>536</v>
      </c>
      <c r="D115" s="26">
        <v>23067080</v>
      </c>
      <c r="E115" t="str">
        <f t="shared" si="1"/>
        <v>23067080</v>
      </c>
      <c r="F115"/>
    </row>
    <row r="116" spans="1:6" x14ac:dyDescent="0.25">
      <c r="A116" s="9">
        <v>115</v>
      </c>
      <c r="B116" s="9">
        <v>159</v>
      </c>
      <c r="C116" s="10" t="s">
        <v>537</v>
      </c>
      <c r="D116" s="26">
        <v>16027300</v>
      </c>
      <c r="E116" t="str">
        <f t="shared" si="1"/>
        <v>16027300</v>
      </c>
      <c r="F116"/>
    </row>
    <row r="117" spans="1:6" x14ac:dyDescent="0.25">
      <c r="A117" s="9">
        <v>116</v>
      </c>
      <c r="B117" s="9">
        <v>160</v>
      </c>
      <c r="C117" s="10" t="s">
        <v>538</v>
      </c>
      <c r="D117" s="26">
        <v>21257120</v>
      </c>
      <c r="E117" t="str">
        <f t="shared" si="1"/>
        <v>21257120</v>
      </c>
      <c r="F117"/>
    </row>
    <row r="118" spans="1:6" x14ac:dyDescent="0.25">
      <c r="A118" s="9">
        <v>117</v>
      </c>
      <c r="B118" s="9">
        <v>161</v>
      </c>
      <c r="C118" s="10" t="s">
        <v>539</v>
      </c>
      <c r="D118" s="26">
        <v>35017020</v>
      </c>
      <c r="E118" t="str">
        <f t="shared" si="1"/>
        <v>35017020</v>
      </c>
      <c r="F118"/>
    </row>
    <row r="119" spans="1:6" x14ac:dyDescent="0.25">
      <c r="A119" s="9">
        <v>118</v>
      </c>
      <c r="B119" s="9">
        <v>162</v>
      </c>
      <c r="C119" s="10" t="s">
        <v>540</v>
      </c>
      <c r="D119" s="26">
        <v>52077010</v>
      </c>
      <c r="E119" t="str">
        <f t="shared" si="1"/>
        <v>52077010</v>
      </c>
      <c r="F119"/>
    </row>
    <row r="120" spans="1:6" x14ac:dyDescent="0.25">
      <c r="A120" s="9">
        <v>119</v>
      </c>
      <c r="B120" s="9">
        <v>163</v>
      </c>
      <c r="C120" s="10" t="s">
        <v>541</v>
      </c>
      <c r="D120" s="26">
        <v>32067030</v>
      </c>
      <c r="E120" t="str">
        <f t="shared" si="1"/>
        <v>32067030</v>
      </c>
      <c r="F120"/>
    </row>
    <row r="121" spans="1:6" x14ac:dyDescent="0.25">
      <c r="A121" s="9">
        <v>120</v>
      </c>
      <c r="B121" s="9">
        <v>164</v>
      </c>
      <c r="C121" s="10" t="s">
        <v>542</v>
      </c>
      <c r="D121" s="26">
        <v>21160260</v>
      </c>
      <c r="E121" t="str">
        <f t="shared" si="1"/>
        <v>21160260</v>
      </c>
      <c r="F121"/>
    </row>
    <row r="122" spans="1:6" x14ac:dyDescent="0.25">
      <c r="A122" s="9">
        <v>121</v>
      </c>
      <c r="B122" s="9">
        <v>165</v>
      </c>
      <c r="C122" s="10" t="s">
        <v>543</v>
      </c>
      <c r="D122" s="26">
        <v>23037010</v>
      </c>
      <c r="E122" t="str">
        <f t="shared" si="1"/>
        <v>23037010</v>
      </c>
      <c r="F122"/>
    </row>
    <row r="123" spans="1:6" x14ac:dyDescent="0.25">
      <c r="A123" s="9">
        <v>122</v>
      </c>
      <c r="B123" s="9">
        <v>166</v>
      </c>
      <c r="C123" s="10" t="s">
        <v>544</v>
      </c>
      <c r="D123" s="26">
        <v>21117100</v>
      </c>
      <c r="E123" t="str">
        <f t="shared" si="1"/>
        <v>21117100</v>
      </c>
      <c r="F123"/>
    </row>
    <row r="124" spans="1:6" x14ac:dyDescent="0.25">
      <c r="A124" s="9">
        <v>123</v>
      </c>
      <c r="B124" s="9">
        <v>168</v>
      </c>
      <c r="C124" s="10" t="s">
        <v>545</v>
      </c>
      <c r="D124" s="26">
        <v>21015050</v>
      </c>
      <c r="E124" t="str">
        <f t="shared" si="1"/>
        <v>21015050</v>
      </c>
      <c r="F124"/>
    </row>
    <row r="125" spans="1:6" x14ac:dyDescent="0.25">
      <c r="A125" s="9">
        <v>124</v>
      </c>
      <c r="B125" s="9">
        <v>169</v>
      </c>
      <c r="C125" s="10" t="s">
        <v>546</v>
      </c>
      <c r="D125" s="26">
        <v>23065190</v>
      </c>
      <c r="E125" t="str">
        <f t="shared" si="1"/>
        <v>23065190</v>
      </c>
      <c r="F125"/>
    </row>
    <row r="126" spans="1:6" x14ac:dyDescent="0.25">
      <c r="A126" s="9">
        <v>125</v>
      </c>
      <c r="B126" s="9">
        <v>172</v>
      </c>
      <c r="C126" s="10" t="s">
        <v>547</v>
      </c>
      <c r="D126" s="26">
        <v>26137220</v>
      </c>
      <c r="E126" t="str">
        <f t="shared" si="1"/>
        <v>26137220</v>
      </c>
      <c r="F126"/>
    </row>
    <row r="127" spans="1:6" x14ac:dyDescent="0.25">
      <c r="A127" s="9">
        <v>126</v>
      </c>
      <c r="B127" s="9">
        <v>173</v>
      </c>
      <c r="C127" s="10" t="s">
        <v>548</v>
      </c>
      <c r="D127" s="26">
        <v>26157190</v>
      </c>
      <c r="E127" t="str">
        <f t="shared" si="1"/>
        <v>26157190</v>
      </c>
      <c r="F127"/>
    </row>
    <row r="128" spans="1:6" x14ac:dyDescent="0.25">
      <c r="A128" s="9">
        <v>127</v>
      </c>
      <c r="B128" s="9">
        <v>174</v>
      </c>
      <c r="C128" s="10" t="s">
        <v>549</v>
      </c>
      <c r="D128" s="26">
        <v>23120250</v>
      </c>
      <c r="E128" t="str">
        <f t="shared" si="1"/>
        <v>23120250</v>
      </c>
      <c r="F128"/>
    </row>
    <row r="129" spans="1:6" x14ac:dyDescent="0.25">
      <c r="A129" s="9">
        <v>128</v>
      </c>
      <c r="B129" s="9">
        <v>175</v>
      </c>
      <c r="C129" s="10" t="s">
        <v>550</v>
      </c>
      <c r="D129" s="26">
        <v>46015030</v>
      </c>
      <c r="E129" t="str">
        <f t="shared" si="1"/>
        <v>46015030</v>
      </c>
      <c r="F129"/>
    </row>
    <row r="130" spans="1:6" x14ac:dyDescent="0.25">
      <c r="A130" s="9">
        <v>129</v>
      </c>
      <c r="B130" s="9">
        <v>176</v>
      </c>
      <c r="C130" s="10" t="s">
        <v>551</v>
      </c>
      <c r="D130" s="26">
        <v>24055070</v>
      </c>
      <c r="E130" t="str">
        <f t="shared" si="1"/>
        <v>24055070</v>
      </c>
      <c r="F130"/>
    </row>
    <row r="131" spans="1:6" x14ac:dyDescent="0.25">
      <c r="A131" s="9">
        <v>130</v>
      </c>
      <c r="B131" s="9">
        <v>177</v>
      </c>
      <c r="C131" s="10" t="s">
        <v>552</v>
      </c>
      <c r="D131" s="26">
        <v>23180070</v>
      </c>
      <c r="E131" t="str">
        <f t="shared" ref="E131:E194" si="2">MID(C131, SEARCH("[", C131) + 1, SEARCH(";", C131 &amp; ";") - SEARCH("[", C131) - 1)</f>
        <v>23180070</v>
      </c>
      <c r="F131"/>
    </row>
    <row r="132" spans="1:6" x14ac:dyDescent="0.25">
      <c r="A132" s="9">
        <v>131</v>
      </c>
      <c r="B132" s="9">
        <v>179</v>
      </c>
      <c r="C132" s="10" t="s">
        <v>553</v>
      </c>
      <c r="D132" s="26">
        <v>26155270</v>
      </c>
      <c r="E132" t="str">
        <f t="shared" si="2"/>
        <v>26155270</v>
      </c>
      <c r="F132"/>
    </row>
    <row r="133" spans="1:6" x14ac:dyDescent="0.25">
      <c r="A133" s="9">
        <v>132</v>
      </c>
      <c r="B133" s="9">
        <v>180</v>
      </c>
      <c r="C133" s="10" t="s">
        <v>554</v>
      </c>
      <c r="D133" s="26">
        <v>26015050</v>
      </c>
      <c r="E133" t="str">
        <f t="shared" si="2"/>
        <v>26015050</v>
      </c>
      <c r="F133"/>
    </row>
    <row r="134" spans="1:6" x14ac:dyDescent="0.25">
      <c r="A134" s="9">
        <v>133</v>
      </c>
      <c r="B134" s="9">
        <v>181</v>
      </c>
      <c r="C134" s="10" t="s">
        <v>555</v>
      </c>
      <c r="D134" s="26">
        <v>26217010</v>
      </c>
      <c r="E134" t="str">
        <f t="shared" si="2"/>
        <v>26217010</v>
      </c>
      <c r="F134"/>
    </row>
    <row r="135" spans="1:6" x14ac:dyDescent="0.25">
      <c r="A135" s="9">
        <v>134</v>
      </c>
      <c r="B135" s="9">
        <v>183</v>
      </c>
      <c r="C135" s="10" t="s">
        <v>556</v>
      </c>
      <c r="D135" s="26">
        <v>23125170</v>
      </c>
      <c r="E135" t="str">
        <f t="shared" si="2"/>
        <v>23125170</v>
      </c>
      <c r="F135"/>
    </row>
    <row r="136" spans="1:6" x14ac:dyDescent="0.25">
      <c r="A136" s="9">
        <v>135</v>
      </c>
      <c r="B136" s="9">
        <v>184</v>
      </c>
      <c r="C136" s="10" t="s">
        <v>557</v>
      </c>
      <c r="D136" s="26">
        <v>25025340</v>
      </c>
      <c r="E136" t="str">
        <f t="shared" si="2"/>
        <v>25025340</v>
      </c>
      <c r="F136"/>
    </row>
    <row r="137" spans="1:6" x14ac:dyDescent="0.25">
      <c r="A137" s="9">
        <v>136</v>
      </c>
      <c r="B137" s="9">
        <v>185</v>
      </c>
      <c r="C137" s="10" t="s">
        <v>558</v>
      </c>
      <c r="D137" s="26">
        <v>21167060</v>
      </c>
      <c r="E137" t="str">
        <f t="shared" si="2"/>
        <v>21167060</v>
      </c>
      <c r="F137"/>
    </row>
    <row r="138" spans="1:6" x14ac:dyDescent="0.25">
      <c r="A138" s="9">
        <v>137</v>
      </c>
      <c r="B138" s="9">
        <v>187</v>
      </c>
      <c r="C138" s="10" t="s">
        <v>559</v>
      </c>
      <c r="D138" s="26">
        <v>25017020</v>
      </c>
      <c r="E138" t="str">
        <f t="shared" si="2"/>
        <v>25017020</v>
      </c>
      <c r="F138"/>
    </row>
    <row r="139" spans="1:6" x14ac:dyDescent="0.25">
      <c r="A139" s="9">
        <v>138</v>
      </c>
      <c r="B139" s="9">
        <v>188</v>
      </c>
      <c r="C139" s="10" t="s">
        <v>560</v>
      </c>
      <c r="D139" s="26">
        <v>26185050</v>
      </c>
      <c r="E139" t="str">
        <f t="shared" si="2"/>
        <v>26185050</v>
      </c>
      <c r="F139"/>
    </row>
    <row r="140" spans="1:6" x14ac:dyDescent="0.25">
      <c r="A140" s="9">
        <v>139</v>
      </c>
      <c r="B140" s="9">
        <v>189</v>
      </c>
      <c r="C140" s="10" t="s">
        <v>561</v>
      </c>
      <c r="D140" s="26">
        <v>35085070</v>
      </c>
      <c r="E140" t="str">
        <f t="shared" si="2"/>
        <v>35085070</v>
      </c>
      <c r="F140"/>
    </row>
    <row r="141" spans="1:6" x14ac:dyDescent="0.25">
      <c r="A141" s="9">
        <v>140</v>
      </c>
      <c r="B141" s="9">
        <v>193</v>
      </c>
      <c r="C141" s="10" t="s">
        <v>562</v>
      </c>
      <c r="D141" s="26">
        <v>16035030</v>
      </c>
      <c r="E141" t="str">
        <f t="shared" si="2"/>
        <v>16035030</v>
      </c>
      <c r="F141"/>
    </row>
    <row r="142" spans="1:6" x14ac:dyDescent="0.25">
      <c r="A142" s="9">
        <v>141</v>
      </c>
      <c r="B142" s="9">
        <v>194</v>
      </c>
      <c r="C142" s="10" t="s">
        <v>563</v>
      </c>
      <c r="D142" s="26">
        <v>28025120</v>
      </c>
      <c r="E142" t="str">
        <f t="shared" si="2"/>
        <v>28025120</v>
      </c>
      <c r="F142"/>
    </row>
    <row r="143" spans="1:6" x14ac:dyDescent="0.25">
      <c r="A143" s="9">
        <v>142</v>
      </c>
      <c r="B143" s="9">
        <v>195</v>
      </c>
      <c r="C143" s="10" t="s">
        <v>564</v>
      </c>
      <c r="D143" s="26">
        <v>52025090</v>
      </c>
      <c r="E143" t="str">
        <f t="shared" si="2"/>
        <v>52025090</v>
      </c>
      <c r="F143"/>
    </row>
    <row r="144" spans="1:6" x14ac:dyDescent="0.25">
      <c r="A144" s="9">
        <v>143</v>
      </c>
      <c r="B144" s="9">
        <v>196</v>
      </c>
      <c r="C144" s="10" t="s">
        <v>565</v>
      </c>
      <c r="D144" s="26">
        <v>26157200</v>
      </c>
      <c r="E144" t="str">
        <f t="shared" si="2"/>
        <v>26157200</v>
      </c>
      <c r="F144"/>
    </row>
    <row r="145" spans="1:6" x14ac:dyDescent="0.25">
      <c r="A145" s="9">
        <v>144</v>
      </c>
      <c r="B145" s="9">
        <v>197</v>
      </c>
      <c r="C145" s="10" t="s">
        <v>566</v>
      </c>
      <c r="D145" s="26">
        <v>26085160</v>
      </c>
      <c r="E145" t="str">
        <f t="shared" si="2"/>
        <v>26085160</v>
      </c>
      <c r="F145"/>
    </row>
    <row r="146" spans="1:6" x14ac:dyDescent="0.25">
      <c r="A146" s="9">
        <v>145</v>
      </c>
      <c r="B146" s="9">
        <v>198</v>
      </c>
      <c r="C146" s="10" t="s">
        <v>567</v>
      </c>
      <c r="D146" s="26">
        <v>29035000</v>
      </c>
      <c r="E146" t="str">
        <f t="shared" si="2"/>
        <v>29035000</v>
      </c>
      <c r="F146"/>
    </row>
    <row r="147" spans="1:6" x14ac:dyDescent="0.25">
      <c r="A147" s="9">
        <v>146</v>
      </c>
      <c r="B147" s="9">
        <v>199</v>
      </c>
      <c r="C147" s="10" t="s">
        <v>568</v>
      </c>
      <c r="D147" s="26">
        <v>21257090</v>
      </c>
      <c r="E147" t="str">
        <f t="shared" si="2"/>
        <v>21257090</v>
      </c>
      <c r="F147"/>
    </row>
    <row r="148" spans="1:6" x14ac:dyDescent="0.25">
      <c r="A148" s="9">
        <v>147</v>
      </c>
      <c r="B148" s="9">
        <v>202</v>
      </c>
      <c r="C148" s="10" t="s">
        <v>569</v>
      </c>
      <c r="D148" s="26">
        <v>26180180</v>
      </c>
      <c r="E148" t="str">
        <f t="shared" si="2"/>
        <v>26180180</v>
      </c>
      <c r="F148"/>
    </row>
    <row r="149" spans="1:6" x14ac:dyDescent="0.25">
      <c r="A149" s="9">
        <v>148</v>
      </c>
      <c r="B149" s="9">
        <v>203</v>
      </c>
      <c r="C149" s="10" t="s">
        <v>570</v>
      </c>
      <c r="D149" s="26">
        <v>21205970</v>
      </c>
      <c r="E149" t="str">
        <f t="shared" si="2"/>
        <v>21205970</v>
      </c>
      <c r="F149"/>
    </row>
    <row r="150" spans="1:6" x14ac:dyDescent="0.25">
      <c r="A150" s="9">
        <v>149</v>
      </c>
      <c r="B150" s="9">
        <v>204</v>
      </c>
      <c r="C150" s="10" t="s">
        <v>571</v>
      </c>
      <c r="D150" s="26">
        <v>26145090</v>
      </c>
      <c r="E150" t="str">
        <f t="shared" si="2"/>
        <v>26145090</v>
      </c>
      <c r="F150"/>
    </row>
    <row r="151" spans="1:6" x14ac:dyDescent="0.25">
      <c r="A151" s="9">
        <v>150</v>
      </c>
      <c r="B151" s="9">
        <v>207</v>
      </c>
      <c r="C151" s="10" t="s">
        <v>572</v>
      </c>
      <c r="D151" s="26">
        <v>21206980</v>
      </c>
      <c r="E151" t="str">
        <f t="shared" si="2"/>
        <v>21206980</v>
      </c>
      <c r="F151"/>
    </row>
    <row r="152" spans="1:6" x14ac:dyDescent="0.25">
      <c r="A152" s="9">
        <v>151</v>
      </c>
      <c r="B152" s="9">
        <v>208</v>
      </c>
      <c r="C152" s="10" t="s">
        <v>573</v>
      </c>
      <c r="D152" s="26">
        <v>36015020</v>
      </c>
      <c r="E152" t="str">
        <f t="shared" si="2"/>
        <v>36015020</v>
      </c>
      <c r="F152"/>
    </row>
    <row r="153" spans="1:6" x14ac:dyDescent="0.25">
      <c r="A153" s="9">
        <v>152</v>
      </c>
      <c r="B153" s="9">
        <v>209</v>
      </c>
      <c r="C153" s="10" t="s">
        <v>574</v>
      </c>
      <c r="D153" s="26">
        <v>21237010</v>
      </c>
      <c r="E153" t="str">
        <f t="shared" si="2"/>
        <v>21237010</v>
      </c>
      <c r="F153"/>
    </row>
    <row r="154" spans="1:6" x14ac:dyDescent="0.25">
      <c r="A154" s="9">
        <v>153</v>
      </c>
      <c r="B154" s="9">
        <v>210</v>
      </c>
      <c r="C154" s="10" t="s">
        <v>575</v>
      </c>
      <c r="D154" s="26">
        <v>26015010</v>
      </c>
      <c r="E154" t="str">
        <f t="shared" si="2"/>
        <v>26015010</v>
      </c>
      <c r="F154"/>
    </row>
    <row r="155" spans="1:6" x14ac:dyDescent="0.25">
      <c r="A155" s="9">
        <v>154</v>
      </c>
      <c r="B155" s="9">
        <v>211</v>
      </c>
      <c r="C155" s="10" t="s">
        <v>576</v>
      </c>
      <c r="D155" s="26">
        <v>54017040</v>
      </c>
      <c r="E155" t="str">
        <f t="shared" si="2"/>
        <v>54017040</v>
      </c>
      <c r="F155"/>
    </row>
    <row r="156" spans="1:6" x14ac:dyDescent="0.25">
      <c r="A156" s="9">
        <v>155</v>
      </c>
      <c r="B156" s="9">
        <v>214</v>
      </c>
      <c r="C156" s="10" t="s">
        <v>577</v>
      </c>
      <c r="D156" s="26">
        <v>26155170</v>
      </c>
      <c r="E156" t="str">
        <f t="shared" si="2"/>
        <v>26155170</v>
      </c>
      <c r="F156"/>
    </row>
    <row r="157" spans="1:6" x14ac:dyDescent="0.25">
      <c r="A157" s="9">
        <v>156</v>
      </c>
      <c r="B157" s="9">
        <v>215</v>
      </c>
      <c r="C157" s="10" t="s">
        <v>578</v>
      </c>
      <c r="D157" s="26">
        <v>25025280</v>
      </c>
      <c r="E157" t="str">
        <f t="shared" si="2"/>
        <v>25025280</v>
      </c>
      <c r="F157"/>
    </row>
    <row r="158" spans="1:6" x14ac:dyDescent="0.25">
      <c r="A158" s="9">
        <v>157</v>
      </c>
      <c r="B158" s="9">
        <v>217</v>
      </c>
      <c r="C158" s="10" t="s">
        <v>579</v>
      </c>
      <c r="D158" s="26">
        <v>16035010</v>
      </c>
      <c r="E158" t="str">
        <f t="shared" si="2"/>
        <v>16035010</v>
      </c>
      <c r="F158"/>
    </row>
    <row r="159" spans="1:6" x14ac:dyDescent="0.25">
      <c r="A159" s="9">
        <v>158</v>
      </c>
      <c r="B159" s="9">
        <v>219</v>
      </c>
      <c r="C159" s="10" t="s">
        <v>580</v>
      </c>
      <c r="D159" s="26">
        <v>12015060</v>
      </c>
      <c r="E159" t="str">
        <f t="shared" si="2"/>
        <v>12015060</v>
      </c>
      <c r="F159"/>
    </row>
    <row r="160" spans="1:6" x14ac:dyDescent="0.25">
      <c r="A160" s="9">
        <v>159</v>
      </c>
      <c r="B160" s="9">
        <v>220</v>
      </c>
      <c r="C160" s="10" t="s">
        <v>581</v>
      </c>
      <c r="D160" s="26">
        <v>24035430</v>
      </c>
      <c r="E160" t="str">
        <f t="shared" si="2"/>
        <v>24035430</v>
      </c>
      <c r="F160"/>
    </row>
    <row r="161" spans="1:6" x14ac:dyDescent="0.25">
      <c r="A161" s="9">
        <v>160</v>
      </c>
      <c r="B161" s="9">
        <v>221</v>
      </c>
      <c r="C161" s="10" t="s">
        <v>582</v>
      </c>
      <c r="D161" s="26">
        <v>12025040</v>
      </c>
      <c r="E161" t="str">
        <f t="shared" si="2"/>
        <v>12025040</v>
      </c>
      <c r="F161"/>
    </row>
    <row r="162" spans="1:6" x14ac:dyDescent="0.25">
      <c r="A162" s="9">
        <v>161</v>
      </c>
      <c r="B162" s="9">
        <v>222</v>
      </c>
      <c r="C162" s="10" t="s">
        <v>583</v>
      </c>
      <c r="D162" s="26">
        <v>15015120</v>
      </c>
      <c r="E162" t="str">
        <f t="shared" si="2"/>
        <v>15015120</v>
      </c>
      <c r="F162"/>
    </row>
    <row r="163" spans="1:6" x14ac:dyDescent="0.25">
      <c r="A163" s="9">
        <v>162</v>
      </c>
      <c r="B163" s="9">
        <v>223</v>
      </c>
      <c r="C163" s="10" t="s">
        <v>584</v>
      </c>
      <c r="D163" s="26">
        <v>11135030</v>
      </c>
      <c r="E163" t="str">
        <f t="shared" si="2"/>
        <v>11135030</v>
      </c>
      <c r="F163"/>
    </row>
    <row r="164" spans="1:6" x14ac:dyDescent="0.25">
      <c r="A164" s="9">
        <v>163</v>
      </c>
      <c r="B164" s="9">
        <v>225</v>
      </c>
      <c r="C164" s="10" t="s">
        <v>585</v>
      </c>
      <c r="D164" s="26">
        <v>52045080</v>
      </c>
      <c r="E164" t="str">
        <f t="shared" si="2"/>
        <v>52045080</v>
      </c>
      <c r="F164"/>
    </row>
    <row r="165" spans="1:6" x14ac:dyDescent="0.25">
      <c r="A165" s="9">
        <v>164</v>
      </c>
      <c r="B165" s="9">
        <v>226</v>
      </c>
      <c r="C165" s="10" t="s">
        <v>586</v>
      </c>
      <c r="D165" s="26">
        <v>26055120</v>
      </c>
      <c r="E165" t="str">
        <f t="shared" si="2"/>
        <v>26055120</v>
      </c>
      <c r="F165"/>
    </row>
    <row r="166" spans="1:6" x14ac:dyDescent="0.25">
      <c r="A166" s="9">
        <v>165</v>
      </c>
      <c r="B166" s="9">
        <v>227</v>
      </c>
      <c r="C166" s="10" t="s">
        <v>587</v>
      </c>
      <c r="D166" s="26">
        <v>16015110</v>
      </c>
      <c r="E166" t="str">
        <f t="shared" si="2"/>
        <v>16015110</v>
      </c>
      <c r="F166"/>
    </row>
    <row r="167" spans="1:6" x14ac:dyDescent="0.25">
      <c r="A167" s="9">
        <v>166</v>
      </c>
      <c r="B167" s="9">
        <v>229</v>
      </c>
      <c r="C167" s="10" t="s">
        <v>588</v>
      </c>
      <c r="D167" s="26">
        <v>16015120</v>
      </c>
      <c r="E167" t="str">
        <f t="shared" si="2"/>
        <v>16015120</v>
      </c>
      <c r="F167"/>
    </row>
    <row r="168" spans="1:6" x14ac:dyDescent="0.25">
      <c r="A168" s="9">
        <v>167</v>
      </c>
      <c r="B168" s="9">
        <v>231</v>
      </c>
      <c r="C168" s="10" t="s">
        <v>589</v>
      </c>
      <c r="D168" s="26">
        <v>23087210</v>
      </c>
      <c r="E168" t="str">
        <f t="shared" si="2"/>
        <v>23087210</v>
      </c>
      <c r="F168"/>
    </row>
    <row r="169" spans="1:6" x14ac:dyDescent="0.25">
      <c r="A169" s="9">
        <v>168</v>
      </c>
      <c r="B169" s="9">
        <v>232</v>
      </c>
      <c r="C169" s="10" t="s">
        <v>590</v>
      </c>
      <c r="D169" s="26">
        <v>52017030</v>
      </c>
      <c r="E169" t="str">
        <f t="shared" si="2"/>
        <v>52017030</v>
      </c>
      <c r="F169"/>
    </row>
    <row r="170" spans="1:6" x14ac:dyDescent="0.25">
      <c r="A170" s="9">
        <v>169</v>
      </c>
      <c r="B170" s="9">
        <v>233</v>
      </c>
      <c r="C170" s="10" t="s">
        <v>591</v>
      </c>
      <c r="D170" s="26">
        <v>2601700104</v>
      </c>
      <c r="E170" t="str">
        <f t="shared" si="2"/>
        <v>2601700104</v>
      </c>
      <c r="F170"/>
    </row>
    <row r="171" spans="1:6" x14ac:dyDescent="0.25">
      <c r="A171" s="9">
        <v>170</v>
      </c>
      <c r="B171" s="9">
        <v>235</v>
      </c>
      <c r="C171" s="10" t="s">
        <v>592</v>
      </c>
      <c r="D171" s="26">
        <v>21205940</v>
      </c>
      <c r="E171" t="str">
        <f t="shared" si="2"/>
        <v>21205940</v>
      </c>
      <c r="F171"/>
    </row>
    <row r="172" spans="1:6" x14ac:dyDescent="0.25">
      <c r="A172" s="9">
        <v>171</v>
      </c>
      <c r="B172" s="9">
        <v>236</v>
      </c>
      <c r="C172" s="10" t="s">
        <v>593</v>
      </c>
      <c r="D172" s="26">
        <v>21206920</v>
      </c>
      <c r="E172" t="str">
        <f t="shared" si="2"/>
        <v>21206920</v>
      </c>
      <c r="F172"/>
    </row>
    <row r="173" spans="1:6" x14ac:dyDescent="0.25">
      <c r="A173" s="9">
        <v>172</v>
      </c>
      <c r="B173" s="9">
        <v>239</v>
      </c>
      <c r="C173" s="10" t="s">
        <v>594</v>
      </c>
      <c r="D173" s="26">
        <v>23065180</v>
      </c>
      <c r="E173" t="str">
        <f t="shared" si="2"/>
        <v>23065180</v>
      </c>
      <c r="F173"/>
    </row>
    <row r="174" spans="1:6" x14ac:dyDescent="0.25">
      <c r="A174" s="9">
        <v>173</v>
      </c>
      <c r="B174" s="9">
        <v>241</v>
      </c>
      <c r="C174" s="10" t="s">
        <v>595</v>
      </c>
      <c r="D174" s="26">
        <v>3206500059</v>
      </c>
      <c r="E174" t="str">
        <f t="shared" si="2"/>
        <v>3206500059</v>
      </c>
      <c r="F174"/>
    </row>
    <row r="175" spans="1:6" x14ac:dyDescent="0.25">
      <c r="A175" s="9">
        <v>174</v>
      </c>
      <c r="B175" s="9">
        <v>242</v>
      </c>
      <c r="C175" s="10" t="s">
        <v>596</v>
      </c>
      <c r="D175" s="26">
        <v>23195090</v>
      </c>
      <c r="E175" t="str">
        <f t="shared" si="2"/>
        <v>23195090</v>
      </c>
      <c r="F175"/>
    </row>
    <row r="176" spans="1:6" x14ac:dyDescent="0.25">
      <c r="A176" s="9">
        <v>175</v>
      </c>
      <c r="B176" s="9">
        <v>243</v>
      </c>
      <c r="C176" s="10" t="s">
        <v>597</v>
      </c>
      <c r="D176" s="26">
        <v>24055080</v>
      </c>
      <c r="E176" t="str">
        <f t="shared" si="2"/>
        <v>24055080</v>
      </c>
      <c r="F176"/>
    </row>
    <row r="177" spans="1:6" x14ac:dyDescent="0.25">
      <c r="A177" s="9">
        <v>176</v>
      </c>
      <c r="B177" s="9">
        <v>245</v>
      </c>
      <c r="C177" s="10" t="s">
        <v>598</v>
      </c>
      <c r="D177" s="26">
        <v>44017110</v>
      </c>
      <c r="E177" t="str">
        <f t="shared" si="2"/>
        <v>44017110</v>
      </c>
      <c r="F177"/>
    </row>
    <row r="178" spans="1:6" x14ac:dyDescent="0.25">
      <c r="A178" s="9">
        <v>177</v>
      </c>
      <c r="B178" s="9">
        <v>246</v>
      </c>
      <c r="C178" s="10" t="s">
        <v>599</v>
      </c>
      <c r="D178" s="26">
        <v>26105250</v>
      </c>
      <c r="E178" t="str">
        <f t="shared" si="2"/>
        <v>26105250</v>
      </c>
      <c r="F178"/>
    </row>
    <row r="179" spans="1:6" x14ac:dyDescent="0.25">
      <c r="A179" s="9">
        <v>178</v>
      </c>
      <c r="B179" s="9">
        <v>247</v>
      </c>
      <c r="C179" s="10" t="s">
        <v>600</v>
      </c>
      <c r="D179" s="26">
        <v>35085060</v>
      </c>
      <c r="E179" t="str">
        <f t="shared" si="2"/>
        <v>35085060</v>
      </c>
      <c r="F179"/>
    </row>
    <row r="180" spans="1:6" x14ac:dyDescent="0.25">
      <c r="A180" s="9">
        <v>179</v>
      </c>
      <c r="B180" s="9">
        <v>248</v>
      </c>
      <c r="C180" s="10" t="s">
        <v>601</v>
      </c>
      <c r="D180" s="26">
        <v>1206500136</v>
      </c>
      <c r="E180" t="str">
        <f t="shared" si="2"/>
        <v>1206500136</v>
      </c>
      <c r="F180"/>
    </row>
    <row r="181" spans="1:6" x14ac:dyDescent="0.25">
      <c r="A181" s="9">
        <v>180</v>
      </c>
      <c r="B181" s="9">
        <v>250</v>
      </c>
      <c r="C181" s="10" t="s">
        <v>602</v>
      </c>
      <c r="D181" s="26">
        <v>2621500070</v>
      </c>
      <c r="E181" t="str">
        <f t="shared" si="2"/>
        <v>2621500070</v>
      </c>
      <c r="F181"/>
    </row>
    <row r="182" spans="1:6" x14ac:dyDescent="0.25">
      <c r="A182" s="9">
        <v>181</v>
      </c>
      <c r="B182" s="9">
        <v>251</v>
      </c>
      <c r="C182" s="10" t="s">
        <v>603</v>
      </c>
      <c r="D182" s="26">
        <v>3518700145</v>
      </c>
      <c r="E182" t="str">
        <f t="shared" si="2"/>
        <v>3518700145</v>
      </c>
      <c r="F182"/>
    </row>
    <row r="183" spans="1:6" x14ac:dyDescent="0.25">
      <c r="A183" s="9">
        <v>182</v>
      </c>
      <c r="B183" s="9">
        <v>252</v>
      </c>
      <c r="C183" s="10" t="s">
        <v>604</v>
      </c>
      <c r="D183" s="26">
        <v>2308500071</v>
      </c>
      <c r="E183" t="str">
        <f t="shared" si="2"/>
        <v>2308500071</v>
      </c>
      <c r="F183"/>
    </row>
    <row r="184" spans="1:6" x14ac:dyDescent="0.25">
      <c r="A184" s="9">
        <v>183</v>
      </c>
      <c r="B184" s="9">
        <v>253</v>
      </c>
      <c r="C184" s="10" t="s">
        <v>605</v>
      </c>
      <c r="D184" s="26">
        <v>12017020</v>
      </c>
      <c r="E184" t="str">
        <f t="shared" si="2"/>
        <v>12017020</v>
      </c>
      <c r="F184"/>
    </row>
    <row r="185" spans="1:6" x14ac:dyDescent="0.25">
      <c r="A185" s="9">
        <v>184</v>
      </c>
      <c r="B185" s="9">
        <v>255</v>
      </c>
      <c r="C185" s="10" t="s">
        <v>606</v>
      </c>
      <c r="D185" s="26">
        <v>23087190</v>
      </c>
      <c r="E185" t="str">
        <f t="shared" si="2"/>
        <v>23087190</v>
      </c>
      <c r="F185"/>
    </row>
    <row r="186" spans="1:6" x14ac:dyDescent="0.25">
      <c r="A186" s="9">
        <v>185</v>
      </c>
      <c r="B186" s="9">
        <v>256</v>
      </c>
      <c r="C186" s="10" t="s">
        <v>607</v>
      </c>
      <c r="D186" s="26">
        <v>11117050</v>
      </c>
      <c r="E186" t="str">
        <f t="shared" si="2"/>
        <v>11117050</v>
      </c>
      <c r="F186"/>
    </row>
    <row r="187" spans="1:6" x14ac:dyDescent="0.25">
      <c r="A187" s="9">
        <v>186</v>
      </c>
      <c r="B187" s="9">
        <v>258</v>
      </c>
      <c r="C187" s="10" t="s">
        <v>608</v>
      </c>
      <c r="D187" s="26">
        <v>1111500036</v>
      </c>
      <c r="E187" t="str">
        <f t="shared" si="2"/>
        <v>1111500036</v>
      </c>
      <c r="F187"/>
    </row>
    <row r="188" spans="1:6" x14ac:dyDescent="0.25">
      <c r="A188" s="9">
        <v>187</v>
      </c>
      <c r="B188" s="9">
        <v>259</v>
      </c>
      <c r="C188" s="10" t="s">
        <v>609</v>
      </c>
      <c r="D188" s="26">
        <v>13077060</v>
      </c>
      <c r="E188" t="str">
        <f t="shared" si="2"/>
        <v>13077060</v>
      </c>
      <c r="F188"/>
    </row>
    <row r="189" spans="1:6" x14ac:dyDescent="0.25">
      <c r="A189" s="9">
        <v>188</v>
      </c>
      <c r="B189" s="9">
        <v>261</v>
      </c>
      <c r="C189" s="10" t="s">
        <v>610</v>
      </c>
      <c r="D189" s="26">
        <v>26180250</v>
      </c>
      <c r="E189" t="str">
        <f t="shared" si="2"/>
        <v>26180250</v>
      </c>
      <c r="F189"/>
    </row>
    <row r="190" spans="1:6" x14ac:dyDescent="0.25">
      <c r="A190" s="9">
        <v>189</v>
      </c>
      <c r="B190" s="9">
        <v>262</v>
      </c>
      <c r="C190" s="10" t="s">
        <v>611</v>
      </c>
      <c r="D190" s="26">
        <v>26247010</v>
      </c>
      <c r="E190" t="str">
        <f t="shared" si="2"/>
        <v>26247010</v>
      </c>
      <c r="F190"/>
    </row>
    <row r="191" spans="1:6" x14ac:dyDescent="0.25">
      <c r="A191" s="9">
        <v>190</v>
      </c>
      <c r="B191" s="9">
        <v>264</v>
      </c>
      <c r="C191" s="10" t="s">
        <v>612</v>
      </c>
      <c r="D191" s="26">
        <v>27037020</v>
      </c>
      <c r="E191" t="str">
        <f t="shared" si="2"/>
        <v>27037020</v>
      </c>
      <c r="F191"/>
    </row>
    <row r="192" spans="1:6" x14ac:dyDescent="0.25">
      <c r="A192" s="9">
        <v>191</v>
      </c>
      <c r="B192" s="9">
        <v>266</v>
      </c>
      <c r="C192" s="10" t="s">
        <v>613</v>
      </c>
      <c r="D192" s="26">
        <v>2619700161</v>
      </c>
      <c r="E192" t="str">
        <f t="shared" si="2"/>
        <v>2619700161</v>
      </c>
      <c r="F192"/>
    </row>
    <row r="193" spans="1:6" x14ac:dyDescent="0.25">
      <c r="A193" s="9">
        <v>192</v>
      </c>
      <c r="B193" s="9">
        <v>267</v>
      </c>
      <c r="C193" s="10" t="s">
        <v>614</v>
      </c>
      <c r="D193" s="26">
        <v>11027030</v>
      </c>
      <c r="E193" t="str">
        <f t="shared" si="2"/>
        <v>11027030</v>
      </c>
      <c r="F193"/>
    </row>
    <row r="194" spans="1:6" x14ac:dyDescent="0.25">
      <c r="A194" s="9">
        <v>193</v>
      </c>
      <c r="B194" s="9">
        <v>268</v>
      </c>
      <c r="C194" s="10" t="s">
        <v>615</v>
      </c>
      <c r="D194" s="26">
        <v>25027050</v>
      </c>
      <c r="E194" t="str">
        <f t="shared" si="2"/>
        <v>25027050</v>
      </c>
      <c r="F194"/>
    </row>
    <row r="195" spans="1:6" x14ac:dyDescent="0.25">
      <c r="A195" s="9">
        <v>194</v>
      </c>
      <c r="B195" s="9">
        <v>269</v>
      </c>
      <c r="C195" s="10" t="s">
        <v>616</v>
      </c>
      <c r="D195" s="26">
        <v>12045020</v>
      </c>
      <c r="E195" t="str">
        <f t="shared" ref="E195:E258" si="3">MID(C195, SEARCH("[", C195) + 1, SEARCH(";", C195 &amp; ";") - SEARCH("[", C195) - 1)</f>
        <v>12045020</v>
      </c>
      <c r="F195"/>
    </row>
    <row r="196" spans="1:6" x14ac:dyDescent="0.25">
      <c r="A196" s="9">
        <v>195</v>
      </c>
      <c r="B196" s="9">
        <v>270</v>
      </c>
      <c r="C196" s="10" t="s">
        <v>617</v>
      </c>
      <c r="D196" s="26">
        <v>2501500120</v>
      </c>
      <c r="E196" t="str">
        <f t="shared" si="3"/>
        <v>2501500120</v>
      </c>
      <c r="F196"/>
    </row>
    <row r="197" spans="1:6" x14ac:dyDescent="0.25">
      <c r="A197" s="9">
        <v>196</v>
      </c>
      <c r="B197" s="9">
        <v>271</v>
      </c>
      <c r="C197" s="10" t="s">
        <v>618</v>
      </c>
      <c r="D197" s="26">
        <v>3518500127</v>
      </c>
      <c r="E197" t="str">
        <f t="shared" si="3"/>
        <v>3518500127</v>
      </c>
      <c r="F197"/>
    </row>
    <row r="198" spans="1:6" x14ac:dyDescent="0.25">
      <c r="A198" s="9">
        <v>197</v>
      </c>
      <c r="B198" s="9">
        <v>272</v>
      </c>
      <c r="C198" s="10" t="s">
        <v>619</v>
      </c>
      <c r="D198" s="26">
        <v>1303500074</v>
      </c>
      <c r="E198" t="str">
        <f t="shared" si="3"/>
        <v>1303500074</v>
      </c>
      <c r="F198"/>
    </row>
    <row r="199" spans="1:6" x14ac:dyDescent="0.25">
      <c r="A199" s="9">
        <v>198</v>
      </c>
      <c r="B199" s="9">
        <v>275</v>
      </c>
      <c r="C199" s="10" t="s">
        <v>620</v>
      </c>
      <c r="D199" s="26">
        <v>25017030</v>
      </c>
      <c r="E199" t="str">
        <f t="shared" si="3"/>
        <v>25017030</v>
      </c>
      <c r="F199"/>
    </row>
    <row r="200" spans="1:6" x14ac:dyDescent="0.25">
      <c r="A200" s="9">
        <v>199</v>
      </c>
      <c r="B200" s="9">
        <v>277</v>
      </c>
      <c r="C200" s="10" t="s">
        <v>621</v>
      </c>
      <c r="D200" s="26">
        <v>2502700153</v>
      </c>
      <c r="E200" t="str">
        <f t="shared" si="3"/>
        <v>2502700153</v>
      </c>
      <c r="F200"/>
    </row>
    <row r="201" spans="1:6" x14ac:dyDescent="0.25">
      <c r="A201" s="9">
        <v>200</v>
      </c>
      <c r="B201" s="9">
        <v>278</v>
      </c>
      <c r="C201" s="10" t="s">
        <v>622</v>
      </c>
      <c r="D201" s="26">
        <v>44017070</v>
      </c>
      <c r="E201" t="str">
        <f t="shared" si="3"/>
        <v>44017070</v>
      </c>
      <c r="F201"/>
    </row>
    <row r="202" spans="1:6" x14ac:dyDescent="0.25">
      <c r="A202" s="9">
        <v>201</v>
      </c>
      <c r="B202" s="9">
        <v>279</v>
      </c>
      <c r="C202" s="10" t="s">
        <v>623</v>
      </c>
      <c r="D202" s="26">
        <v>35027140</v>
      </c>
      <c r="E202" t="str">
        <f t="shared" si="3"/>
        <v>35027140</v>
      </c>
      <c r="F202"/>
    </row>
    <row r="203" spans="1:6" x14ac:dyDescent="0.25">
      <c r="A203" s="9">
        <v>202</v>
      </c>
      <c r="B203" s="9">
        <v>280</v>
      </c>
      <c r="C203" s="10" t="s">
        <v>624</v>
      </c>
      <c r="D203" s="26">
        <v>3502700090</v>
      </c>
      <c r="E203" t="str">
        <f t="shared" si="3"/>
        <v>3502700090</v>
      </c>
      <c r="F203"/>
    </row>
    <row r="204" spans="1:6" x14ac:dyDescent="0.25">
      <c r="A204" s="9">
        <v>203</v>
      </c>
      <c r="B204" s="9">
        <v>282</v>
      </c>
      <c r="C204" s="10" t="s">
        <v>625</v>
      </c>
      <c r="D204" s="26">
        <v>3503500062</v>
      </c>
      <c r="E204" t="str">
        <f t="shared" si="3"/>
        <v>3503500062</v>
      </c>
      <c r="F204"/>
    </row>
    <row r="205" spans="1:6" x14ac:dyDescent="0.25">
      <c r="A205" s="9">
        <v>204</v>
      </c>
      <c r="B205" s="9">
        <v>283</v>
      </c>
      <c r="C205" s="10" t="s">
        <v>626</v>
      </c>
      <c r="D205" s="26">
        <v>2105700099</v>
      </c>
      <c r="E205" t="str">
        <f t="shared" si="3"/>
        <v>2105700099</v>
      </c>
      <c r="F205"/>
    </row>
    <row r="206" spans="1:6" x14ac:dyDescent="0.25">
      <c r="A206" s="9">
        <v>205</v>
      </c>
      <c r="B206" s="9">
        <v>284</v>
      </c>
      <c r="C206" s="10" t="s">
        <v>627</v>
      </c>
      <c r="D206" s="26">
        <v>21057060</v>
      </c>
      <c r="E206" t="str">
        <f t="shared" si="3"/>
        <v>21057060</v>
      </c>
      <c r="F206"/>
    </row>
    <row r="207" spans="1:6" x14ac:dyDescent="0.25">
      <c r="A207" s="9">
        <v>206</v>
      </c>
      <c r="B207" s="9">
        <v>288</v>
      </c>
      <c r="C207" s="10" t="s">
        <v>628</v>
      </c>
      <c r="D207" s="26">
        <v>21127030</v>
      </c>
      <c r="E207" t="str">
        <f t="shared" si="3"/>
        <v>21127030</v>
      </c>
      <c r="F207"/>
    </row>
    <row r="208" spans="1:6" x14ac:dyDescent="0.25">
      <c r="A208" s="9">
        <v>207</v>
      </c>
      <c r="B208" s="9">
        <v>289</v>
      </c>
      <c r="C208" s="10" t="s">
        <v>629</v>
      </c>
      <c r="D208" s="26">
        <v>21017030</v>
      </c>
      <c r="E208" t="str">
        <f t="shared" si="3"/>
        <v>21017030</v>
      </c>
      <c r="F208"/>
    </row>
    <row r="209" spans="1:6" x14ac:dyDescent="0.25">
      <c r="A209" s="9">
        <v>208</v>
      </c>
      <c r="B209" s="9">
        <v>291</v>
      </c>
      <c r="C209" s="10" t="s">
        <v>630</v>
      </c>
      <c r="D209" s="26">
        <v>4403700097</v>
      </c>
      <c r="E209" t="str">
        <f t="shared" si="3"/>
        <v>4403700097</v>
      </c>
      <c r="F209"/>
    </row>
    <row r="210" spans="1:6" x14ac:dyDescent="0.25">
      <c r="A210" s="9">
        <v>209</v>
      </c>
      <c r="B210" s="9">
        <v>292</v>
      </c>
      <c r="C210" s="10" t="s">
        <v>631</v>
      </c>
      <c r="D210" s="26">
        <v>24017600</v>
      </c>
      <c r="E210" t="str">
        <f t="shared" si="3"/>
        <v>24017600</v>
      </c>
      <c r="F210"/>
    </row>
    <row r="211" spans="1:6" x14ac:dyDescent="0.25">
      <c r="A211" s="9">
        <v>210</v>
      </c>
      <c r="B211" s="9">
        <v>293</v>
      </c>
      <c r="C211" s="10" t="s">
        <v>632</v>
      </c>
      <c r="D211" s="26">
        <v>46035010</v>
      </c>
      <c r="E211" t="str">
        <f t="shared" si="3"/>
        <v>46035010</v>
      </c>
      <c r="F211"/>
    </row>
    <row r="212" spans="1:6" x14ac:dyDescent="0.25">
      <c r="A212" s="9">
        <v>211</v>
      </c>
      <c r="B212" s="9">
        <v>294</v>
      </c>
      <c r="C212" s="10" t="s">
        <v>633</v>
      </c>
      <c r="D212" s="26">
        <v>21097120</v>
      </c>
      <c r="E212" t="str">
        <f t="shared" si="3"/>
        <v>21097120</v>
      </c>
      <c r="F212"/>
    </row>
    <row r="213" spans="1:6" x14ac:dyDescent="0.25">
      <c r="A213" s="9">
        <v>212</v>
      </c>
      <c r="B213" s="9">
        <v>295</v>
      </c>
      <c r="C213" s="10" t="s">
        <v>634</v>
      </c>
      <c r="D213" s="26">
        <v>21145080</v>
      </c>
      <c r="E213" t="str">
        <f t="shared" si="3"/>
        <v>21145080</v>
      </c>
      <c r="F213"/>
    </row>
    <row r="214" spans="1:6" x14ac:dyDescent="0.25">
      <c r="A214" s="9">
        <v>213</v>
      </c>
      <c r="B214" s="9">
        <v>296</v>
      </c>
      <c r="C214" s="10" t="s">
        <v>635</v>
      </c>
      <c r="D214" s="26">
        <v>2805500075</v>
      </c>
      <c r="E214" t="str">
        <f t="shared" si="3"/>
        <v>2805500075</v>
      </c>
      <c r="F214"/>
    </row>
    <row r="215" spans="1:6" x14ac:dyDescent="0.25">
      <c r="A215" s="9">
        <v>214</v>
      </c>
      <c r="B215" s="9">
        <v>300</v>
      </c>
      <c r="C215" s="10" t="s">
        <v>636</v>
      </c>
      <c r="D215" s="26">
        <v>15015060</v>
      </c>
      <c r="E215" t="str">
        <f t="shared" si="3"/>
        <v>15015060</v>
      </c>
      <c r="F215"/>
    </row>
    <row r="216" spans="1:6" x14ac:dyDescent="0.25">
      <c r="A216" s="9">
        <v>215</v>
      </c>
      <c r="B216" s="9">
        <v>302</v>
      </c>
      <c r="C216" s="10" t="s">
        <v>637</v>
      </c>
      <c r="D216" s="26">
        <v>1501700160</v>
      </c>
      <c r="E216" t="str">
        <f t="shared" si="3"/>
        <v>1501700160</v>
      </c>
      <c r="F216"/>
    </row>
    <row r="217" spans="1:6" x14ac:dyDescent="0.25">
      <c r="A217" s="9">
        <v>216</v>
      </c>
      <c r="B217" s="9">
        <v>304</v>
      </c>
      <c r="C217" s="10" t="s">
        <v>638</v>
      </c>
      <c r="D217" s="26">
        <v>27027060</v>
      </c>
      <c r="E217" t="str">
        <f t="shared" si="3"/>
        <v>27027060</v>
      </c>
      <c r="F217"/>
    </row>
    <row r="218" spans="1:6" x14ac:dyDescent="0.25">
      <c r="A218" s="9">
        <v>217</v>
      </c>
      <c r="B218" s="9">
        <v>308</v>
      </c>
      <c r="C218" s="10" t="s">
        <v>639</v>
      </c>
      <c r="D218" s="26">
        <v>28017150</v>
      </c>
      <c r="E218" t="str">
        <f t="shared" si="3"/>
        <v>28017150</v>
      </c>
      <c r="F218"/>
    </row>
    <row r="219" spans="1:6" x14ac:dyDescent="0.25">
      <c r="A219" s="9">
        <v>218</v>
      </c>
      <c r="B219" s="9">
        <v>310</v>
      </c>
      <c r="C219" s="10" t="s">
        <v>640</v>
      </c>
      <c r="D219" s="26">
        <v>2906500077</v>
      </c>
      <c r="E219" t="str">
        <f t="shared" si="3"/>
        <v>2906500077</v>
      </c>
      <c r="F219"/>
    </row>
    <row r="220" spans="1:6" x14ac:dyDescent="0.25">
      <c r="A220" s="9">
        <v>219</v>
      </c>
      <c r="B220" s="9">
        <v>314</v>
      </c>
      <c r="C220" s="10" t="s">
        <v>641</v>
      </c>
      <c r="D220" s="26">
        <v>28037030</v>
      </c>
      <c r="E220" t="str">
        <f t="shared" si="3"/>
        <v>28037030</v>
      </c>
      <c r="F220"/>
    </row>
    <row r="221" spans="1:6" x14ac:dyDescent="0.25">
      <c r="A221" s="9">
        <v>220</v>
      </c>
      <c r="B221" s="9">
        <v>315</v>
      </c>
      <c r="C221" s="10" t="s">
        <v>642</v>
      </c>
      <c r="D221" s="26">
        <v>28030190</v>
      </c>
      <c r="E221" t="str">
        <f t="shared" si="3"/>
        <v>28030190</v>
      </c>
      <c r="F221"/>
    </row>
    <row r="222" spans="1:6" x14ac:dyDescent="0.25">
      <c r="A222" s="9">
        <v>221</v>
      </c>
      <c r="B222" s="9">
        <v>316</v>
      </c>
      <c r="C222" s="10" t="s">
        <v>643</v>
      </c>
      <c r="D222" s="26">
        <v>28035070</v>
      </c>
      <c r="E222" t="str">
        <f t="shared" si="3"/>
        <v>28035070</v>
      </c>
      <c r="F222"/>
    </row>
    <row r="223" spans="1:6" x14ac:dyDescent="0.25">
      <c r="A223" s="9">
        <v>222</v>
      </c>
      <c r="B223" s="9">
        <v>318</v>
      </c>
      <c r="C223" s="10" t="s">
        <v>644</v>
      </c>
      <c r="D223" s="26">
        <v>29067150</v>
      </c>
      <c r="E223" t="str">
        <f t="shared" si="3"/>
        <v>29067150</v>
      </c>
      <c r="F223"/>
    </row>
    <row r="224" spans="1:6" x14ac:dyDescent="0.25">
      <c r="A224" s="9">
        <v>223</v>
      </c>
      <c r="B224" s="9">
        <v>319</v>
      </c>
      <c r="C224" s="10" t="s">
        <v>645</v>
      </c>
      <c r="D224" s="26">
        <v>24010840</v>
      </c>
      <c r="E224" t="str">
        <f t="shared" si="3"/>
        <v>24010840</v>
      </c>
      <c r="F224"/>
    </row>
    <row r="225" spans="1:6" x14ac:dyDescent="0.25">
      <c r="A225" s="9">
        <v>224</v>
      </c>
      <c r="B225" s="9">
        <v>320</v>
      </c>
      <c r="C225" s="10" t="s">
        <v>646</v>
      </c>
      <c r="D225" s="26">
        <v>24025030</v>
      </c>
      <c r="E225" t="str">
        <f t="shared" si="3"/>
        <v>24025030</v>
      </c>
      <c r="F225"/>
    </row>
    <row r="226" spans="1:6" x14ac:dyDescent="0.25">
      <c r="A226" s="9">
        <v>225</v>
      </c>
      <c r="B226" s="9">
        <v>322</v>
      </c>
      <c r="C226" s="10" t="s">
        <v>647</v>
      </c>
      <c r="D226" s="26">
        <v>24030140</v>
      </c>
      <c r="E226" t="str">
        <f t="shared" si="3"/>
        <v>24030140</v>
      </c>
      <c r="F226"/>
    </row>
    <row r="227" spans="1:6" x14ac:dyDescent="0.25">
      <c r="A227" s="9">
        <v>226</v>
      </c>
      <c r="B227" s="9">
        <v>323</v>
      </c>
      <c r="C227" s="10" t="s">
        <v>648</v>
      </c>
      <c r="D227" s="26">
        <v>24030120</v>
      </c>
      <c r="E227" t="str">
        <f t="shared" si="3"/>
        <v>24030120</v>
      </c>
      <c r="F227"/>
    </row>
    <row r="228" spans="1:6" x14ac:dyDescent="0.25">
      <c r="A228" s="9">
        <v>227</v>
      </c>
      <c r="B228" s="9">
        <v>324</v>
      </c>
      <c r="C228" s="10" t="s">
        <v>649</v>
      </c>
      <c r="D228" s="26">
        <v>24037030</v>
      </c>
      <c r="E228" t="str">
        <f t="shared" si="3"/>
        <v>24037030</v>
      </c>
      <c r="F228"/>
    </row>
    <row r="229" spans="1:6" x14ac:dyDescent="0.25">
      <c r="A229" s="9">
        <v>228</v>
      </c>
      <c r="B229" s="9">
        <v>325</v>
      </c>
      <c r="C229" s="10" t="s">
        <v>650</v>
      </c>
      <c r="D229" s="26">
        <v>24030560</v>
      </c>
      <c r="E229" t="str">
        <f t="shared" si="3"/>
        <v>24030560</v>
      </c>
      <c r="F229"/>
    </row>
    <row r="230" spans="1:6" x14ac:dyDescent="0.25">
      <c r="A230" s="9">
        <v>229</v>
      </c>
      <c r="B230" s="9">
        <v>326</v>
      </c>
      <c r="C230" s="10" t="s">
        <v>651</v>
      </c>
      <c r="D230" s="26">
        <v>2403500085</v>
      </c>
      <c r="E230" t="str">
        <f t="shared" si="3"/>
        <v>2403500085</v>
      </c>
      <c r="F230"/>
    </row>
    <row r="231" spans="1:6" x14ac:dyDescent="0.25">
      <c r="A231" s="9">
        <v>230</v>
      </c>
      <c r="B231" s="9">
        <v>327</v>
      </c>
      <c r="C231" s="10" t="s">
        <v>652</v>
      </c>
      <c r="D231" s="26">
        <v>24037490</v>
      </c>
      <c r="E231" t="str">
        <f t="shared" si="3"/>
        <v>24037490</v>
      </c>
      <c r="F231"/>
    </row>
    <row r="232" spans="1:6" x14ac:dyDescent="0.25">
      <c r="A232" s="9">
        <v>231</v>
      </c>
      <c r="B232" s="9">
        <v>328</v>
      </c>
      <c r="C232" s="10" t="s">
        <v>653</v>
      </c>
      <c r="D232" s="26">
        <v>35107040</v>
      </c>
      <c r="E232" t="str">
        <f t="shared" si="3"/>
        <v>35107040</v>
      </c>
      <c r="F232"/>
    </row>
    <row r="233" spans="1:6" x14ac:dyDescent="0.25">
      <c r="A233" s="9">
        <v>232</v>
      </c>
      <c r="B233" s="9">
        <v>329</v>
      </c>
      <c r="C233" s="10" t="s">
        <v>654</v>
      </c>
      <c r="D233" s="26">
        <v>47017070</v>
      </c>
      <c r="E233" t="str">
        <f t="shared" si="3"/>
        <v>47017070</v>
      </c>
      <c r="F233"/>
    </row>
    <row r="234" spans="1:6" x14ac:dyDescent="0.25">
      <c r="A234" s="9">
        <v>233</v>
      </c>
      <c r="B234" s="9">
        <v>330</v>
      </c>
      <c r="C234" s="10" t="s">
        <v>655</v>
      </c>
      <c r="D234" s="26">
        <v>3602700101</v>
      </c>
      <c r="E234" t="str">
        <f t="shared" si="3"/>
        <v>3602700101</v>
      </c>
      <c r="F234"/>
    </row>
    <row r="235" spans="1:6" x14ac:dyDescent="0.25">
      <c r="A235" s="9">
        <v>234</v>
      </c>
      <c r="B235" s="9">
        <v>331</v>
      </c>
      <c r="C235" s="10" t="s">
        <v>656</v>
      </c>
      <c r="D235" s="26">
        <v>21015030</v>
      </c>
      <c r="E235" t="str">
        <f t="shared" si="3"/>
        <v>21015030</v>
      </c>
      <c r="F235"/>
    </row>
    <row r="236" spans="1:6" x14ac:dyDescent="0.25">
      <c r="A236" s="9">
        <v>235</v>
      </c>
      <c r="B236" s="9">
        <v>332</v>
      </c>
      <c r="C236" s="10" t="s">
        <v>657</v>
      </c>
      <c r="D236" s="26">
        <v>24037080</v>
      </c>
      <c r="E236" t="str">
        <f t="shared" si="3"/>
        <v>24037080</v>
      </c>
      <c r="F236"/>
    </row>
    <row r="237" spans="1:6" x14ac:dyDescent="0.25">
      <c r="A237" s="9">
        <v>236</v>
      </c>
      <c r="B237" s="9">
        <v>333</v>
      </c>
      <c r="C237" s="10" t="s">
        <v>658</v>
      </c>
      <c r="D237" s="26">
        <v>3519700092</v>
      </c>
      <c r="E237" t="str">
        <f t="shared" si="3"/>
        <v>3519700092</v>
      </c>
      <c r="F237"/>
    </row>
    <row r="238" spans="1:6" x14ac:dyDescent="0.25">
      <c r="A238" s="9">
        <v>237</v>
      </c>
      <c r="B238" s="9">
        <v>334</v>
      </c>
      <c r="C238" s="10" t="s">
        <v>659</v>
      </c>
      <c r="D238" s="26">
        <v>35197020</v>
      </c>
      <c r="E238" t="str">
        <f t="shared" si="3"/>
        <v>35197020</v>
      </c>
      <c r="F238"/>
    </row>
    <row r="239" spans="1:6" x14ac:dyDescent="0.25">
      <c r="A239" s="9">
        <v>238</v>
      </c>
      <c r="B239" s="9">
        <v>335</v>
      </c>
      <c r="C239" s="10" t="s">
        <v>660</v>
      </c>
      <c r="D239" s="26">
        <v>29067160</v>
      </c>
      <c r="E239" t="str">
        <f t="shared" si="3"/>
        <v>29067160</v>
      </c>
      <c r="F239"/>
    </row>
    <row r="240" spans="1:6" x14ac:dyDescent="0.25">
      <c r="A240" s="9">
        <v>239</v>
      </c>
      <c r="B240" s="9">
        <v>336</v>
      </c>
      <c r="C240" s="10" t="s">
        <v>661</v>
      </c>
      <c r="D240" s="26">
        <v>2401500086</v>
      </c>
      <c r="E240" t="str">
        <f t="shared" si="3"/>
        <v>2401500086</v>
      </c>
      <c r="F240"/>
    </row>
    <row r="241" spans="1:6" x14ac:dyDescent="0.25">
      <c r="A241" s="9">
        <v>240</v>
      </c>
      <c r="B241" s="9">
        <v>337</v>
      </c>
      <c r="C241" s="10" t="s">
        <v>662</v>
      </c>
      <c r="D241" s="26">
        <v>21037020</v>
      </c>
      <c r="E241" t="str">
        <f t="shared" si="3"/>
        <v>21037020</v>
      </c>
      <c r="F241"/>
    </row>
    <row r="242" spans="1:6" x14ac:dyDescent="0.25">
      <c r="A242" s="9">
        <v>241</v>
      </c>
      <c r="B242" s="9">
        <v>338</v>
      </c>
      <c r="C242" s="10" t="s">
        <v>663</v>
      </c>
      <c r="D242" s="26">
        <v>24035250</v>
      </c>
      <c r="E242" t="str">
        <f t="shared" si="3"/>
        <v>24035250</v>
      </c>
      <c r="F242"/>
    </row>
    <row r="243" spans="1:6" x14ac:dyDescent="0.25">
      <c r="A243" s="9">
        <v>242</v>
      </c>
      <c r="B243" s="9">
        <v>339</v>
      </c>
      <c r="C243" s="10" t="s">
        <v>664</v>
      </c>
      <c r="D243" s="26">
        <v>24037290</v>
      </c>
      <c r="E243" t="str">
        <f t="shared" si="3"/>
        <v>24037290</v>
      </c>
      <c r="F243"/>
    </row>
    <row r="244" spans="1:6" x14ac:dyDescent="0.25">
      <c r="A244" s="9">
        <v>243</v>
      </c>
      <c r="B244" s="9">
        <v>340</v>
      </c>
      <c r="C244" s="10" t="s">
        <v>665</v>
      </c>
      <c r="D244" s="26">
        <v>35070310</v>
      </c>
      <c r="E244" t="str">
        <f t="shared" si="3"/>
        <v>35070310</v>
      </c>
      <c r="F244"/>
    </row>
    <row r="245" spans="1:6" x14ac:dyDescent="0.25">
      <c r="A245" s="9">
        <v>244</v>
      </c>
      <c r="B245" s="9">
        <v>342</v>
      </c>
      <c r="C245" s="10" t="s">
        <v>666</v>
      </c>
      <c r="D245" s="26">
        <v>5102500128</v>
      </c>
      <c r="E245" t="str">
        <f t="shared" si="3"/>
        <v>5102500128</v>
      </c>
      <c r="F245"/>
    </row>
    <row r="246" spans="1:6" x14ac:dyDescent="0.25">
      <c r="A246" s="9">
        <v>245</v>
      </c>
      <c r="B246" s="9">
        <v>343</v>
      </c>
      <c r="C246" s="10" t="s">
        <v>667</v>
      </c>
      <c r="D246" s="26">
        <v>5204700100</v>
      </c>
      <c r="E246" t="str">
        <f t="shared" si="3"/>
        <v>5204700100</v>
      </c>
      <c r="F246"/>
    </row>
    <row r="247" spans="1:6" x14ac:dyDescent="0.25">
      <c r="A247" s="9">
        <v>246</v>
      </c>
      <c r="B247" s="9">
        <v>344</v>
      </c>
      <c r="C247" s="10" t="s">
        <v>668</v>
      </c>
      <c r="D247" s="26">
        <v>47015100</v>
      </c>
      <c r="E247" t="str">
        <f t="shared" si="3"/>
        <v>47015100</v>
      </c>
      <c r="F247"/>
    </row>
    <row r="248" spans="1:6" x14ac:dyDescent="0.25">
      <c r="A248" s="9">
        <v>247</v>
      </c>
      <c r="B248" s="9">
        <v>345</v>
      </c>
      <c r="C248" s="10" t="s">
        <v>669</v>
      </c>
      <c r="D248" s="26">
        <v>52040050</v>
      </c>
      <c r="E248" t="str">
        <f t="shared" si="3"/>
        <v>52040050</v>
      </c>
      <c r="F248"/>
    </row>
    <row r="249" spans="1:6" x14ac:dyDescent="0.25">
      <c r="A249" s="9">
        <v>248</v>
      </c>
      <c r="B249" s="9">
        <v>346</v>
      </c>
      <c r="C249" s="10" t="s">
        <v>670</v>
      </c>
      <c r="D249" s="26">
        <v>5205500123</v>
      </c>
      <c r="E249" t="str">
        <f t="shared" si="3"/>
        <v>5205500123</v>
      </c>
      <c r="F249"/>
    </row>
    <row r="250" spans="1:6" x14ac:dyDescent="0.25">
      <c r="A250" s="9">
        <v>249</v>
      </c>
      <c r="B250" s="9">
        <v>347</v>
      </c>
      <c r="C250" s="10" t="s">
        <v>671</v>
      </c>
      <c r="D250" s="26">
        <v>44037080</v>
      </c>
      <c r="E250" t="str">
        <f t="shared" si="3"/>
        <v>44037080</v>
      </c>
      <c r="F250"/>
    </row>
    <row r="251" spans="1:6" x14ac:dyDescent="0.25">
      <c r="A251" s="9">
        <v>250</v>
      </c>
      <c r="B251" s="9">
        <v>348</v>
      </c>
      <c r="C251" s="10" t="s">
        <v>672</v>
      </c>
      <c r="D251" s="26">
        <v>52020070</v>
      </c>
      <c r="E251" t="str">
        <f t="shared" si="3"/>
        <v>52020070</v>
      </c>
      <c r="F251"/>
    </row>
    <row r="252" spans="1:6" x14ac:dyDescent="0.25">
      <c r="A252" s="9">
        <v>251</v>
      </c>
      <c r="B252" s="9">
        <v>350</v>
      </c>
      <c r="C252" s="10" t="s">
        <v>673</v>
      </c>
      <c r="D252" s="26">
        <v>16027060</v>
      </c>
      <c r="E252" t="str">
        <f t="shared" si="3"/>
        <v>16027060</v>
      </c>
      <c r="F252"/>
    </row>
    <row r="253" spans="1:6" x14ac:dyDescent="0.25">
      <c r="A253" s="9">
        <v>252</v>
      </c>
      <c r="B253" s="9">
        <v>352</v>
      </c>
      <c r="C253" s="10" t="s">
        <v>674</v>
      </c>
      <c r="D253" s="26">
        <v>1602500110</v>
      </c>
      <c r="E253" t="str">
        <f t="shared" si="3"/>
        <v>1602500110</v>
      </c>
      <c r="F253"/>
    </row>
    <row r="254" spans="1:6" x14ac:dyDescent="0.25">
      <c r="A254" s="9">
        <v>253</v>
      </c>
      <c r="B254" s="9">
        <v>354</v>
      </c>
      <c r="C254" s="10" t="s">
        <v>675</v>
      </c>
      <c r="D254" s="26">
        <v>3701500114</v>
      </c>
      <c r="E254" t="str">
        <f t="shared" si="3"/>
        <v>3701500114</v>
      </c>
      <c r="F254"/>
    </row>
    <row r="255" spans="1:6" x14ac:dyDescent="0.25">
      <c r="A255" s="9">
        <v>254</v>
      </c>
      <c r="B255" s="9">
        <v>355</v>
      </c>
      <c r="C255" s="10" t="s">
        <v>676</v>
      </c>
      <c r="D255" s="26">
        <v>16017010</v>
      </c>
      <c r="E255" t="str">
        <f t="shared" si="3"/>
        <v>16017010</v>
      </c>
      <c r="F255"/>
    </row>
    <row r="256" spans="1:6" x14ac:dyDescent="0.25">
      <c r="A256" s="9">
        <v>255</v>
      </c>
      <c r="B256" s="9">
        <v>356</v>
      </c>
      <c r="C256" s="10" t="s">
        <v>677</v>
      </c>
      <c r="D256" s="26">
        <v>16067010</v>
      </c>
      <c r="E256" t="str">
        <f t="shared" si="3"/>
        <v>16067010</v>
      </c>
      <c r="F256"/>
    </row>
    <row r="257" spans="1:6" x14ac:dyDescent="0.25">
      <c r="A257" s="9">
        <v>256</v>
      </c>
      <c r="B257" s="9">
        <v>357</v>
      </c>
      <c r="C257" s="10" t="s">
        <v>678</v>
      </c>
      <c r="D257" s="26">
        <v>2319500137</v>
      </c>
      <c r="E257" t="str">
        <f t="shared" si="3"/>
        <v>2319500137</v>
      </c>
      <c r="F257"/>
    </row>
    <row r="258" spans="1:6" x14ac:dyDescent="0.25">
      <c r="A258" s="9">
        <v>257</v>
      </c>
      <c r="B258" s="9">
        <v>358</v>
      </c>
      <c r="C258" s="10" t="s">
        <v>679</v>
      </c>
      <c r="D258" s="26">
        <v>2319500125</v>
      </c>
      <c r="E258" t="str">
        <f t="shared" si="3"/>
        <v>2319500125</v>
      </c>
      <c r="F258"/>
    </row>
    <row r="259" spans="1:6" x14ac:dyDescent="0.25">
      <c r="A259" s="9">
        <v>258</v>
      </c>
      <c r="B259" s="9">
        <v>359</v>
      </c>
      <c r="C259" s="10" t="s">
        <v>680</v>
      </c>
      <c r="D259" s="26">
        <v>37017040</v>
      </c>
      <c r="E259" t="str">
        <f t="shared" ref="E259:E322" si="4">MID(C259, SEARCH("[", C259) + 1, SEARCH(";", C259 &amp; ";") - SEARCH("[", C259) - 1)</f>
        <v>37017040</v>
      </c>
      <c r="F259"/>
    </row>
    <row r="260" spans="1:6" x14ac:dyDescent="0.25">
      <c r="A260" s="9">
        <v>259</v>
      </c>
      <c r="B260" s="9">
        <v>360</v>
      </c>
      <c r="C260" s="10" t="s">
        <v>681</v>
      </c>
      <c r="D260" s="26">
        <v>37027010</v>
      </c>
      <c r="E260" t="str">
        <f t="shared" si="4"/>
        <v>37027010</v>
      </c>
      <c r="F260"/>
    </row>
    <row r="261" spans="1:6" x14ac:dyDescent="0.25">
      <c r="A261" s="9">
        <v>260</v>
      </c>
      <c r="B261" s="9">
        <v>361</v>
      </c>
      <c r="C261" s="10" t="s">
        <v>682</v>
      </c>
      <c r="D261" s="26">
        <v>37037010</v>
      </c>
      <c r="E261" t="str">
        <f t="shared" si="4"/>
        <v>37037010</v>
      </c>
      <c r="F261"/>
    </row>
    <row r="262" spans="1:6" x14ac:dyDescent="0.25">
      <c r="A262" s="9">
        <v>261</v>
      </c>
      <c r="B262" s="9">
        <v>362</v>
      </c>
      <c r="C262" s="10" t="s">
        <v>683</v>
      </c>
      <c r="D262" s="26">
        <v>3702500113</v>
      </c>
      <c r="E262" t="str">
        <f t="shared" si="4"/>
        <v>3702500113</v>
      </c>
      <c r="F262"/>
    </row>
    <row r="263" spans="1:6" x14ac:dyDescent="0.25">
      <c r="A263" s="9">
        <v>262</v>
      </c>
      <c r="B263" s="9">
        <v>364</v>
      </c>
      <c r="C263" s="10" t="s">
        <v>684</v>
      </c>
      <c r="D263" s="26">
        <v>2401500052</v>
      </c>
      <c r="E263" t="str">
        <f t="shared" si="4"/>
        <v>2401500052</v>
      </c>
      <c r="F263"/>
    </row>
    <row r="264" spans="1:6" x14ac:dyDescent="0.25">
      <c r="A264" s="9">
        <v>263</v>
      </c>
      <c r="B264" s="9">
        <v>365</v>
      </c>
      <c r="C264" s="10" t="s">
        <v>685</v>
      </c>
      <c r="D264" s="26">
        <v>24017590</v>
      </c>
      <c r="E264" t="str">
        <f t="shared" si="4"/>
        <v>24017590</v>
      </c>
      <c r="F264"/>
    </row>
    <row r="265" spans="1:6" x14ac:dyDescent="0.25">
      <c r="A265" s="9">
        <v>264</v>
      </c>
      <c r="B265" s="9">
        <v>366</v>
      </c>
      <c r="C265" s="10" t="s">
        <v>686</v>
      </c>
      <c r="D265" s="26">
        <v>2401700091</v>
      </c>
      <c r="E265" t="str">
        <f t="shared" si="4"/>
        <v>2401700091</v>
      </c>
      <c r="F265"/>
    </row>
    <row r="266" spans="1:6" x14ac:dyDescent="0.25">
      <c r="A266" s="9">
        <v>265</v>
      </c>
      <c r="B266" s="9">
        <v>367</v>
      </c>
      <c r="C266" s="10" t="s">
        <v>687</v>
      </c>
      <c r="D266" s="26">
        <v>24030680</v>
      </c>
      <c r="E266" t="str">
        <f t="shared" si="4"/>
        <v>24030680</v>
      </c>
      <c r="F266"/>
    </row>
    <row r="267" spans="1:6" x14ac:dyDescent="0.25">
      <c r="A267" s="9">
        <v>266</v>
      </c>
      <c r="B267" s="9">
        <v>368</v>
      </c>
      <c r="C267" s="10" t="s">
        <v>688</v>
      </c>
      <c r="D267" s="26">
        <v>3701500117</v>
      </c>
      <c r="E267" t="str">
        <f t="shared" si="4"/>
        <v>3701500117</v>
      </c>
      <c r="F267"/>
    </row>
    <row r="268" spans="1:6" x14ac:dyDescent="0.25">
      <c r="A268" s="9">
        <v>267</v>
      </c>
      <c r="B268" s="9">
        <v>369</v>
      </c>
      <c r="C268" s="10" t="s">
        <v>689</v>
      </c>
      <c r="D268" s="26">
        <v>23195110</v>
      </c>
      <c r="E268" t="str">
        <f t="shared" si="4"/>
        <v>23195110</v>
      </c>
      <c r="F268"/>
    </row>
    <row r="269" spans="1:6" x14ac:dyDescent="0.25">
      <c r="A269" s="9">
        <v>268</v>
      </c>
      <c r="B269" s="9">
        <v>370</v>
      </c>
      <c r="C269" s="10" t="s">
        <v>690</v>
      </c>
      <c r="D269" s="26">
        <v>26155150</v>
      </c>
      <c r="E269" t="str">
        <f t="shared" si="4"/>
        <v>26155150</v>
      </c>
      <c r="F269"/>
    </row>
    <row r="270" spans="1:6" x14ac:dyDescent="0.25">
      <c r="A270" s="9">
        <v>269</v>
      </c>
      <c r="B270" s="9">
        <v>372</v>
      </c>
      <c r="C270" s="10" t="s">
        <v>691</v>
      </c>
      <c r="D270" s="26">
        <v>16027280</v>
      </c>
      <c r="E270" t="str">
        <f t="shared" si="4"/>
        <v>16027280</v>
      </c>
      <c r="F270"/>
    </row>
    <row r="271" spans="1:6" x14ac:dyDescent="0.25">
      <c r="A271" s="9">
        <v>270</v>
      </c>
      <c r="B271" s="9">
        <v>373</v>
      </c>
      <c r="C271" s="10" t="s">
        <v>692</v>
      </c>
      <c r="D271" s="26">
        <v>1605700152</v>
      </c>
      <c r="E271" t="str">
        <f t="shared" si="4"/>
        <v>1605700152</v>
      </c>
      <c r="F271"/>
    </row>
    <row r="272" spans="1:6" x14ac:dyDescent="0.25">
      <c r="A272" s="9">
        <v>271</v>
      </c>
      <c r="B272" s="9">
        <v>374</v>
      </c>
      <c r="C272" s="10" t="s">
        <v>693</v>
      </c>
      <c r="D272" s="26">
        <v>23107020</v>
      </c>
      <c r="E272" t="str">
        <f t="shared" si="4"/>
        <v>23107020</v>
      </c>
      <c r="F272"/>
    </row>
    <row r="273" spans="1:6" x14ac:dyDescent="0.25">
      <c r="A273" s="9">
        <v>272</v>
      </c>
      <c r="B273" s="9">
        <v>375</v>
      </c>
      <c r="C273" s="10" t="s">
        <v>694</v>
      </c>
      <c r="D273" s="26">
        <v>2319700096</v>
      </c>
      <c r="E273" t="str">
        <f t="shared" si="4"/>
        <v>2319700096</v>
      </c>
      <c r="F273"/>
    </row>
    <row r="274" spans="1:6" x14ac:dyDescent="0.25">
      <c r="A274" s="9">
        <v>273</v>
      </c>
      <c r="B274" s="9">
        <v>376</v>
      </c>
      <c r="C274" s="10" t="s">
        <v>695</v>
      </c>
      <c r="D274" s="26">
        <v>23197700</v>
      </c>
      <c r="E274" t="str">
        <f t="shared" si="4"/>
        <v>23197700</v>
      </c>
      <c r="F274"/>
    </row>
    <row r="275" spans="1:6" x14ac:dyDescent="0.25">
      <c r="A275" s="9">
        <v>274</v>
      </c>
      <c r="B275" s="9">
        <v>377</v>
      </c>
      <c r="C275" s="10" t="s">
        <v>696</v>
      </c>
      <c r="D275" s="26">
        <v>2319500043</v>
      </c>
      <c r="E275" t="str">
        <f t="shared" si="4"/>
        <v>2319500043</v>
      </c>
      <c r="F275"/>
    </row>
    <row r="276" spans="1:6" x14ac:dyDescent="0.25">
      <c r="A276" s="9">
        <v>275</v>
      </c>
      <c r="B276" s="9">
        <v>378</v>
      </c>
      <c r="C276" s="10" t="s">
        <v>697</v>
      </c>
      <c r="D276" s="26">
        <v>23190130</v>
      </c>
      <c r="E276" t="str">
        <f t="shared" si="4"/>
        <v>23190130</v>
      </c>
      <c r="F276"/>
    </row>
    <row r="277" spans="1:6" x14ac:dyDescent="0.25">
      <c r="A277" s="9">
        <v>276</v>
      </c>
      <c r="B277" s="9">
        <v>379</v>
      </c>
      <c r="C277" s="10" t="s">
        <v>698</v>
      </c>
      <c r="D277" s="26">
        <v>3706500109</v>
      </c>
      <c r="E277" t="str">
        <f t="shared" si="4"/>
        <v>3706500109</v>
      </c>
      <c r="F277"/>
    </row>
    <row r="278" spans="1:6" x14ac:dyDescent="0.25">
      <c r="A278" s="9">
        <v>277</v>
      </c>
      <c r="B278" s="9">
        <v>380</v>
      </c>
      <c r="C278" s="10" t="s">
        <v>699</v>
      </c>
      <c r="D278" s="26">
        <v>16025040</v>
      </c>
      <c r="E278" t="str">
        <f t="shared" si="4"/>
        <v>16025040</v>
      </c>
      <c r="F278"/>
    </row>
    <row r="279" spans="1:6" x14ac:dyDescent="0.25">
      <c r="A279" s="9">
        <v>278</v>
      </c>
      <c r="B279" s="9">
        <v>382</v>
      </c>
      <c r="C279" s="10" t="s">
        <v>700</v>
      </c>
      <c r="D279" s="26">
        <v>16037030</v>
      </c>
      <c r="E279" t="str">
        <f t="shared" si="4"/>
        <v>16037030</v>
      </c>
      <c r="F279"/>
    </row>
    <row r="280" spans="1:6" x14ac:dyDescent="0.25">
      <c r="A280" s="9">
        <v>279</v>
      </c>
      <c r="B280" s="9">
        <v>383</v>
      </c>
      <c r="C280" s="10" t="s">
        <v>701</v>
      </c>
      <c r="D280" s="26">
        <v>16040050</v>
      </c>
      <c r="E280" t="str">
        <f t="shared" si="4"/>
        <v>16040050</v>
      </c>
      <c r="F280"/>
    </row>
    <row r="281" spans="1:6" x14ac:dyDescent="0.25">
      <c r="A281" s="9">
        <v>280</v>
      </c>
      <c r="B281" s="9">
        <v>384</v>
      </c>
      <c r="C281" s="10" t="s">
        <v>702</v>
      </c>
      <c r="D281" s="26">
        <v>26147140</v>
      </c>
      <c r="E281" t="str">
        <f t="shared" si="4"/>
        <v>26147140</v>
      </c>
      <c r="F281"/>
    </row>
    <row r="282" spans="1:6" x14ac:dyDescent="0.25">
      <c r="A282" s="9">
        <v>281</v>
      </c>
      <c r="B282" s="9">
        <v>385</v>
      </c>
      <c r="C282" s="10" t="s">
        <v>703</v>
      </c>
      <c r="D282" s="26">
        <v>16057040</v>
      </c>
      <c r="E282" t="str">
        <f t="shared" si="4"/>
        <v>16057040</v>
      </c>
      <c r="F282"/>
    </row>
    <row r="283" spans="1:6" x14ac:dyDescent="0.25">
      <c r="A283" s="9">
        <v>282</v>
      </c>
      <c r="B283" s="9">
        <v>386</v>
      </c>
      <c r="C283" s="10" t="s">
        <v>704</v>
      </c>
      <c r="D283" s="26">
        <v>23127060</v>
      </c>
      <c r="E283" t="str">
        <f t="shared" si="4"/>
        <v>23127060</v>
      </c>
      <c r="F283"/>
    </row>
    <row r="284" spans="1:6" x14ac:dyDescent="0.25">
      <c r="A284" s="9">
        <v>283</v>
      </c>
      <c r="B284" s="9">
        <v>388</v>
      </c>
      <c r="C284" s="10" t="s">
        <v>705</v>
      </c>
      <c r="D284" s="26">
        <v>23195200</v>
      </c>
      <c r="E284" t="str">
        <f t="shared" si="4"/>
        <v>23195200</v>
      </c>
      <c r="F284"/>
    </row>
    <row r="285" spans="1:6" x14ac:dyDescent="0.25">
      <c r="A285" s="9">
        <v>284</v>
      </c>
      <c r="B285" s="9">
        <v>390</v>
      </c>
      <c r="C285" s="10" t="s">
        <v>706</v>
      </c>
      <c r="D285" s="26">
        <v>23205050</v>
      </c>
      <c r="E285" t="str">
        <f t="shared" si="4"/>
        <v>23205050</v>
      </c>
      <c r="F285"/>
    </row>
    <row r="286" spans="1:6" x14ac:dyDescent="0.25">
      <c r="A286" s="9">
        <v>285</v>
      </c>
      <c r="B286" s="9">
        <v>391</v>
      </c>
      <c r="C286" s="10" t="s">
        <v>707</v>
      </c>
      <c r="D286" s="26">
        <v>2405700149</v>
      </c>
      <c r="E286" t="str">
        <f t="shared" si="4"/>
        <v>2405700149</v>
      </c>
      <c r="F286"/>
    </row>
    <row r="287" spans="1:6" x14ac:dyDescent="0.25">
      <c r="A287" s="9">
        <v>286</v>
      </c>
      <c r="B287" s="9">
        <v>392</v>
      </c>
      <c r="C287" s="10" t="s">
        <v>708</v>
      </c>
      <c r="D287" s="26">
        <v>26017060</v>
      </c>
      <c r="E287" t="str">
        <f t="shared" si="4"/>
        <v>26017060</v>
      </c>
      <c r="F287"/>
    </row>
    <row r="288" spans="1:6" x14ac:dyDescent="0.25">
      <c r="A288" s="9">
        <v>287</v>
      </c>
      <c r="B288" s="9">
        <v>393</v>
      </c>
      <c r="C288" s="10" t="s">
        <v>709</v>
      </c>
      <c r="D288" s="26">
        <v>2610500131</v>
      </c>
      <c r="E288" t="str">
        <f t="shared" si="4"/>
        <v>2610500131</v>
      </c>
      <c r="F288"/>
    </row>
    <row r="289" spans="1:6" x14ac:dyDescent="0.25">
      <c r="A289" s="9">
        <v>288</v>
      </c>
      <c r="B289" s="9">
        <v>395</v>
      </c>
      <c r="C289" s="10" t="s">
        <v>710</v>
      </c>
      <c r="D289" s="26">
        <v>2615500122</v>
      </c>
      <c r="E289" t="str">
        <f t="shared" si="4"/>
        <v>2615500122</v>
      </c>
      <c r="F289"/>
    </row>
    <row r="290" spans="1:6" x14ac:dyDescent="0.25">
      <c r="A290" s="9">
        <v>289</v>
      </c>
      <c r="B290" s="9">
        <v>396</v>
      </c>
      <c r="C290" s="10" t="s">
        <v>711</v>
      </c>
      <c r="D290" s="26">
        <v>2603500127</v>
      </c>
      <c r="E290" t="str">
        <f t="shared" si="4"/>
        <v>2603500127</v>
      </c>
      <c r="F290"/>
    </row>
    <row r="291" spans="1:6" x14ac:dyDescent="0.25">
      <c r="A291" s="9">
        <v>290</v>
      </c>
      <c r="B291" s="9">
        <v>398</v>
      </c>
      <c r="C291" s="10" t="s">
        <v>712</v>
      </c>
      <c r="D291" s="26">
        <v>52017100</v>
      </c>
      <c r="E291" t="str">
        <f t="shared" si="4"/>
        <v>52017100</v>
      </c>
      <c r="F291"/>
    </row>
    <row r="292" spans="1:6" x14ac:dyDescent="0.25">
      <c r="A292" s="9">
        <v>291</v>
      </c>
      <c r="B292" s="9">
        <v>399</v>
      </c>
      <c r="C292" s="10" t="s">
        <v>713</v>
      </c>
      <c r="D292" s="26">
        <v>26167070</v>
      </c>
      <c r="E292" t="str">
        <f t="shared" si="4"/>
        <v>26167070</v>
      </c>
      <c r="F292"/>
    </row>
    <row r="293" spans="1:6" x14ac:dyDescent="0.25">
      <c r="A293" s="9">
        <v>292</v>
      </c>
      <c r="B293" s="9">
        <v>400</v>
      </c>
      <c r="C293" s="10" t="s">
        <v>714</v>
      </c>
      <c r="D293" s="26">
        <v>26027200</v>
      </c>
      <c r="E293" t="str">
        <f t="shared" si="4"/>
        <v>26027200</v>
      </c>
      <c r="F293"/>
    </row>
    <row r="294" spans="1:6" x14ac:dyDescent="0.25">
      <c r="A294" s="9">
        <v>293</v>
      </c>
      <c r="B294" s="9">
        <v>401</v>
      </c>
      <c r="C294" s="10" t="s">
        <v>715</v>
      </c>
      <c r="D294" s="26">
        <v>2633700150</v>
      </c>
      <c r="E294" t="str">
        <f t="shared" si="4"/>
        <v>2633700150</v>
      </c>
      <c r="F294"/>
    </row>
    <row r="295" spans="1:6" x14ac:dyDescent="0.25">
      <c r="A295" s="9">
        <v>294</v>
      </c>
      <c r="B295" s="9">
        <v>404</v>
      </c>
      <c r="C295" s="11" t="s">
        <v>716</v>
      </c>
      <c r="D295" s="26">
        <v>5311700154</v>
      </c>
      <c r="E295" t="str">
        <f t="shared" si="4"/>
        <v>5311700154</v>
      </c>
      <c r="F295"/>
    </row>
    <row r="296" spans="1:6" x14ac:dyDescent="0.25">
      <c r="A296" s="9">
        <v>295</v>
      </c>
      <c r="B296" s="9">
        <v>405</v>
      </c>
      <c r="C296" s="10" t="s">
        <v>717</v>
      </c>
      <c r="D296" s="26">
        <v>2602700148</v>
      </c>
      <c r="E296" t="str">
        <f t="shared" si="4"/>
        <v>2602700148</v>
      </c>
      <c r="F296"/>
    </row>
    <row r="297" spans="1:6" x14ac:dyDescent="0.25">
      <c r="A297" s="9">
        <v>296</v>
      </c>
      <c r="B297" s="9">
        <v>406</v>
      </c>
      <c r="C297" s="10" t="s">
        <v>718</v>
      </c>
      <c r="D297" s="26">
        <v>2611700158</v>
      </c>
      <c r="E297" t="str">
        <f t="shared" si="4"/>
        <v>2611700158</v>
      </c>
      <c r="F297"/>
    </row>
    <row r="298" spans="1:6" x14ac:dyDescent="0.25">
      <c r="A298" s="9">
        <v>297</v>
      </c>
      <c r="B298" s="9">
        <v>408</v>
      </c>
      <c r="C298" s="10" t="s">
        <v>719</v>
      </c>
      <c r="D298" s="26">
        <v>47017110</v>
      </c>
      <c r="E298" t="str">
        <f t="shared" si="4"/>
        <v>47017110</v>
      </c>
      <c r="F298"/>
    </row>
    <row r="299" spans="1:6" x14ac:dyDescent="0.25">
      <c r="A299" s="9">
        <v>298</v>
      </c>
      <c r="B299" s="9">
        <v>409</v>
      </c>
      <c r="C299" s="10" t="s">
        <v>720</v>
      </c>
      <c r="D299" s="26">
        <v>2603700157</v>
      </c>
      <c r="E299" t="str">
        <f t="shared" si="4"/>
        <v>2603700157</v>
      </c>
      <c r="F299"/>
    </row>
    <row r="300" spans="1:6" x14ac:dyDescent="0.25">
      <c r="A300" s="9">
        <v>299</v>
      </c>
      <c r="B300" s="9">
        <v>410</v>
      </c>
      <c r="C300" s="10" t="s">
        <v>721</v>
      </c>
      <c r="D300" s="26">
        <v>2120500135</v>
      </c>
      <c r="E300" t="str">
        <f t="shared" si="4"/>
        <v>2120500135</v>
      </c>
      <c r="F300"/>
    </row>
    <row r="301" spans="1:6" x14ac:dyDescent="0.25">
      <c r="A301" s="9">
        <v>300</v>
      </c>
      <c r="B301" s="9">
        <v>411</v>
      </c>
      <c r="C301" s="10" t="s">
        <v>722</v>
      </c>
      <c r="D301" s="26">
        <v>2614500116</v>
      </c>
      <c r="E301" t="str">
        <f t="shared" si="4"/>
        <v>2614500116</v>
      </c>
      <c r="F301"/>
    </row>
    <row r="302" spans="1:6" x14ac:dyDescent="0.25">
      <c r="A302" s="9">
        <v>301</v>
      </c>
      <c r="B302" s="9">
        <v>412</v>
      </c>
      <c r="C302" s="10" t="s">
        <v>723</v>
      </c>
      <c r="D302" s="26">
        <v>2613500126</v>
      </c>
      <c r="E302" t="str">
        <f t="shared" si="4"/>
        <v>2613500126</v>
      </c>
      <c r="F302"/>
    </row>
    <row r="303" spans="1:6" x14ac:dyDescent="0.25">
      <c r="A303" s="9">
        <v>302</v>
      </c>
      <c r="B303" s="9">
        <v>413</v>
      </c>
      <c r="C303" s="10" t="s">
        <v>724</v>
      </c>
      <c r="D303" s="26">
        <v>2612500038</v>
      </c>
      <c r="E303" t="str">
        <f t="shared" si="4"/>
        <v>2612500038</v>
      </c>
      <c r="F303"/>
    </row>
    <row r="304" spans="1:6" x14ac:dyDescent="0.25">
      <c r="A304" s="9">
        <v>303</v>
      </c>
      <c r="B304" s="9">
        <v>414</v>
      </c>
      <c r="C304" s="10" t="s">
        <v>725</v>
      </c>
      <c r="D304" s="26">
        <v>21057050</v>
      </c>
      <c r="E304" t="str">
        <f t="shared" si="4"/>
        <v>21057050</v>
      </c>
      <c r="F304"/>
    </row>
    <row r="305" spans="1:6" x14ac:dyDescent="0.25">
      <c r="A305" s="9">
        <v>304</v>
      </c>
      <c r="B305" s="9">
        <v>415</v>
      </c>
      <c r="C305" s="10" t="s">
        <v>726</v>
      </c>
      <c r="D305" s="26">
        <v>54015010</v>
      </c>
      <c r="E305" t="str">
        <f t="shared" si="4"/>
        <v>54015010</v>
      </c>
      <c r="F305"/>
    </row>
    <row r="306" spans="1:6" x14ac:dyDescent="0.25">
      <c r="A306" s="9">
        <v>305</v>
      </c>
      <c r="B306" s="9">
        <v>416</v>
      </c>
      <c r="C306" s="10" t="s">
        <v>727</v>
      </c>
      <c r="D306" s="26">
        <v>2604500134</v>
      </c>
      <c r="E306" t="str">
        <f t="shared" si="4"/>
        <v>2604500134</v>
      </c>
      <c r="F306"/>
    </row>
    <row r="307" spans="1:6" x14ac:dyDescent="0.25">
      <c r="A307" s="9">
        <v>306</v>
      </c>
      <c r="B307" s="9">
        <v>417</v>
      </c>
      <c r="C307" s="10" t="s">
        <v>728</v>
      </c>
      <c r="D307" s="26">
        <v>21137030</v>
      </c>
      <c r="E307" t="str">
        <f t="shared" si="4"/>
        <v>21137030</v>
      </c>
      <c r="F307"/>
    </row>
    <row r="308" spans="1:6" x14ac:dyDescent="0.25">
      <c r="A308" s="9">
        <v>307</v>
      </c>
      <c r="B308" s="9">
        <v>418</v>
      </c>
      <c r="C308" s="10" t="s">
        <v>729</v>
      </c>
      <c r="D308" s="26">
        <v>2633500119</v>
      </c>
      <c r="E308" t="str">
        <f t="shared" si="4"/>
        <v>2633500119</v>
      </c>
      <c r="F308"/>
    </row>
    <row r="309" spans="1:6" x14ac:dyDescent="0.25">
      <c r="A309" s="9">
        <v>308</v>
      </c>
      <c r="B309" s="9">
        <v>419</v>
      </c>
      <c r="C309" s="10" t="s">
        <v>730</v>
      </c>
      <c r="D309" s="26">
        <v>2636700098</v>
      </c>
      <c r="E309" t="str">
        <f t="shared" si="4"/>
        <v>2636700098</v>
      </c>
      <c r="F309"/>
    </row>
    <row r="310" spans="1:6" x14ac:dyDescent="0.25">
      <c r="A310" s="9">
        <v>309</v>
      </c>
      <c r="B310" s="9">
        <v>420</v>
      </c>
      <c r="C310" s="10" t="s">
        <v>731</v>
      </c>
      <c r="D310" s="26">
        <v>2612500130</v>
      </c>
      <c r="E310" t="str">
        <f t="shared" si="4"/>
        <v>2612500130</v>
      </c>
      <c r="F310"/>
    </row>
    <row r="311" spans="1:6" x14ac:dyDescent="0.25">
      <c r="A311" s="9">
        <v>310</v>
      </c>
      <c r="B311" s="9">
        <v>421</v>
      </c>
      <c r="C311" s="10" t="s">
        <v>732</v>
      </c>
      <c r="D311" s="26">
        <v>2612500124</v>
      </c>
      <c r="E311" t="str">
        <f t="shared" si="4"/>
        <v>2612500124</v>
      </c>
      <c r="F311"/>
    </row>
    <row r="312" spans="1:6" x14ac:dyDescent="0.25">
      <c r="A312" s="9">
        <v>311</v>
      </c>
      <c r="B312" s="9">
        <v>422</v>
      </c>
      <c r="C312" s="10" t="s">
        <v>733</v>
      </c>
      <c r="D312" s="26">
        <v>47017170</v>
      </c>
      <c r="E312" t="str">
        <f t="shared" si="4"/>
        <v>47017170</v>
      </c>
      <c r="F312"/>
    </row>
    <row r="313" spans="1:6" x14ac:dyDescent="0.25">
      <c r="A313" s="9">
        <v>312</v>
      </c>
      <c r="B313" s="9">
        <v>423</v>
      </c>
      <c r="C313" s="10" t="s">
        <v>734</v>
      </c>
      <c r="D313" s="26">
        <v>1509500118</v>
      </c>
      <c r="E313" t="str">
        <f t="shared" si="4"/>
        <v>1509500118</v>
      </c>
      <c r="F313"/>
    </row>
    <row r="314" spans="1:6" x14ac:dyDescent="0.25">
      <c r="A314" s="9">
        <v>313</v>
      </c>
      <c r="B314" s="9">
        <v>424</v>
      </c>
      <c r="C314" s="10" t="s">
        <v>735</v>
      </c>
      <c r="D314" s="26">
        <v>5311500121</v>
      </c>
      <c r="E314" t="str">
        <f t="shared" si="4"/>
        <v>5311500121</v>
      </c>
      <c r="F314"/>
    </row>
    <row r="315" spans="1:6" x14ac:dyDescent="0.25">
      <c r="A315" s="9">
        <v>314</v>
      </c>
      <c r="B315" s="9">
        <v>428</v>
      </c>
      <c r="C315" s="10" t="s">
        <v>736</v>
      </c>
      <c r="D315" s="26">
        <v>22057060</v>
      </c>
      <c r="E315" t="str">
        <f t="shared" si="4"/>
        <v>22057060</v>
      </c>
      <c r="F315"/>
    </row>
    <row r="316" spans="1:6" x14ac:dyDescent="0.25">
      <c r="A316" s="9">
        <v>315</v>
      </c>
      <c r="B316" s="9">
        <v>429</v>
      </c>
      <c r="C316" s="10" t="s">
        <v>737</v>
      </c>
      <c r="D316" s="26">
        <v>21257100</v>
      </c>
      <c r="E316" t="str">
        <f t="shared" si="4"/>
        <v>21257100</v>
      </c>
      <c r="F316"/>
    </row>
    <row r="317" spans="1:6" x14ac:dyDescent="0.25">
      <c r="A317" s="9">
        <v>316</v>
      </c>
      <c r="B317" s="9">
        <v>431</v>
      </c>
      <c r="C317" s="10" t="s">
        <v>738</v>
      </c>
      <c r="D317" s="26">
        <v>2121500042</v>
      </c>
      <c r="E317" t="str">
        <f t="shared" si="4"/>
        <v>2121500042</v>
      </c>
      <c r="F317"/>
    </row>
    <row r="318" spans="1:6" x14ac:dyDescent="0.25">
      <c r="A318" s="9">
        <v>317</v>
      </c>
      <c r="B318" s="9">
        <v>432</v>
      </c>
      <c r="C318" s="10" t="s">
        <v>739</v>
      </c>
      <c r="D318" s="26">
        <v>21187030</v>
      </c>
      <c r="E318" t="str">
        <f t="shared" si="4"/>
        <v>21187030</v>
      </c>
      <c r="F318"/>
    </row>
    <row r="319" spans="1:6" x14ac:dyDescent="0.25">
      <c r="A319" s="9">
        <v>318</v>
      </c>
      <c r="B319" s="9">
        <v>433</v>
      </c>
      <c r="C319" s="10" t="s">
        <v>740</v>
      </c>
      <c r="D319" s="26">
        <v>2301700089</v>
      </c>
      <c r="E319" t="str">
        <f t="shared" si="4"/>
        <v>2301700089</v>
      </c>
      <c r="F319"/>
    </row>
    <row r="320" spans="1:6" x14ac:dyDescent="0.25">
      <c r="A320" s="9">
        <v>319</v>
      </c>
      <c r="B320" s="9">
        <v>434</v>
      </c>
      <c r="C320" s="10" t="s">
        <v>741</v>
      </c>
      <c r="D320" s="26">
        <v>21147030</v>
      </c>
      <c r="E320" t="str">
        <f t="shared" si="4"/>
        <v>21147030</v>
      </c>
      <c r="F320"/>
    </row>
    <row r="321" spans="1:6" x14ac:dyDescent="0.25">
      <c r="A321" s="9">
        <v>320</v>
      </c>
      <c r="B321" s="9">
        <v>437</v>
      </c>
      <c r="C321" s="10" t="s">
        <v>742</v>
      </c>
      <c r="D321" s="26">
        <v>2202500051</v>
      </c>
      <c r="E321" t="str">
        <f t="shared" si="4"/>
        <v>2202500051</v>
      </c>
      <c r="F321"/>
    </row>
    <row r="322" spans="1:6" x14ac:dyDescent="0.25">
      <c r="A322" s="9">
        <v>321</v>
      </c>
      <c r="B322" s="9">
        <v>439</v>
      </c>
      <c r="C322" s="10" t="s">
        <v>743</v>
      </c>
      <c r="D322" s="26">
        <v>24017640</v>
      </c>
      <c r="E322" t="str">
        <f t="shared" si="4"/>
        <v>24017640</v>
      </c>
      <c r="F322"/>
    </row>
    <row r="323" spans="1:6" x14ac:dyDescent="0.25">
      <c r="A323" s="9">
        <v>322</v>
      </c>
      <c r="B323" s="9">
        <v>440</v>
      </c>
      <c r="C323" s="10" t="s">
        <v>744</v>
      </c>
      <c r="D323" s="26">
        <v>2125700094</v>
      </c>
      <c r="E323" t="str">
        <f t="shared" ref="E323:E386" si="5">MID(C323, SEARCH("[", C323) + 1, SEARCH(";", C323 &amp; ";") - SEARCH("[", C323) - 1)</f>
        <v>2125700094</v>
      </c>
      <c r="F323"/>
    </row>
    <row r="324" spans="1:6" x14ac:dyDescent="0.25">
      <c r="A324" s="9">
        <v>323</v>
      </c>
      <c r="B324" s="9">
        <v>442</v>
      </c>
      <c r="C324" s="10" t="s">
        <v>745</v>
      </c>
      <c r="D324" s="26">
        <v>2305500055</v>
      </c>
      <c r="E324" t="str">
        <f t="shared" si="5"/>
        <v>2305500055</v>
      </c>
      <c r="F324"/>
    </row>
    <row r="325" spans="1:6" x14ac:dyDescent="0.25">
      <c r="A325" s="9">
        <v>324</v>
      </c>
      <c r="B325" s="9">
        <v>444</v>
      </c>
      <c r="C325" s="10" t="s">
        <v>746</v>
      </c>
      <c r="D325" s="26">
        <v>23087230</v>
      </c>
      <c r="E325" t="str">
        <f t="shared" si="5"/>
        <v>23087230</v>
      </c>
      <c r="F325"/>
    </row>
    <row r="326" spans="1:6" x14ac:dyDescent="0.25">
      <c r="A326" s="9">
        <v>325</v>
      </c>
      <c r="B326" s="9">
        <v>446</v>
      </c>
      <c r="C326" s="10" t="s">
        <v>747</v>
      </c>
      <c r="D326" s="26">
        <v>24015380</v>
      </c>
      <c r="E326" t="str">
        <f t="shared" si="5"/>
        <v>24015380</v>
      </c>
      <c r="F326"/>
    </row>
    <row r="327" spans="1:6" x14ac:dyDescent="0.25">
      <c r="A327" s="9">
        <v>326</v>
      </c>
      <c r="B327" s="9">
        <v>447</v>
      </c>
      <c r="C327" s="10" t="s">
        <v>748</v>
      </c>
      <c r="D327" s="26">
        <v>2120500050</v>
      </c>
      <c r="E327" t="str">
        <f t="shared" si="5"/>
        <v>2120500050</v>
      </c>
      <c r="F327"/>
    </row>
    <row r="328" spans="1:6" x14ac:dyDescent="0.25">
      <c r="A328" s="9">
        <v>327</v>
      </c>
      <c r="B328" s="9">
        <v>448</v>
      </c>
      <c r="C328" s="10" t="s">
        <v>749</v>
      </c>
      <c r="D328" s="26">
        <v>23067070</v>
      </c>
      <c r="E328" t="str">
        <f t="shared" si="5"/>
        <v>23067070</v>
      </c>
      <c r="F328"/>
    </row>
    <row r="329" spans="1:6" x14ac:dyDescent="0.25">
      <c r="A329" s="9">
        <v>328</v>
      </c>
      <c r="B329" s="9">
        <v>449</v>
      </c>
      <c r="C329" s="10" t="s">
        <v>750</v>
      </c>
      <c r="D329" s="26">
        <v>2120700146</v>
      </c>
      <c r="E329" t="str">
        <f t="shared" si="5"/>
        <v>2120700146</v>
      </c>
      <c r="F329"/>
    </row>
    <row r="330" spans="1:6" x14ac:dyDescent="0.25">
      <c r="A330" s="9">
        <v>329</v>
      </c>
      <c r="B330" s="9">
        <v>451</v>
      </c>
      <c r="C330" s="10" t="s">
        <v>751</v>
      </c>
      <c r="D330" s="26">
        <v>2120700162</v>
      </c>
      <c r="E330" t="str">
        <f t="shared" si="5"/>
        <v>2120700162</v>
      </c>
      <c r="F330"/>
    </row>
    <row r="331" spans="1:6" x14ac:dyDescent="0.25">
      <c r="A331" s="9">
        <v>330</v>
      </c>
      <c r="B331" s="9">
        <v>453</v>
      </c>
      <c r="C331" s="10" t="s">
        <v>752</v>
      </c>
      <c r="D331" s="26">
        <v>2306500106</v>
      </c>
      <c r="E331" t="str">
        <f t="shared" si="5"/>
        <v>2306500106</v>
      </c>
      <c r="F331"/>
    </row>
    <row r="332" spans="1:6" x14ac:dyDescent="0.25">
      <c r="A332" s="9">
        <v>331</v>
      </c>
      <c r="B332" s="9">
        <v>454</v>
      </c>
      <c r="C332" s="10" t="s">
        <v>753</v>
      </c>
      <c r="D332" s="26">
        <v>23065110</v>
      </c>
      <c r="E332" t="str">
        <f t="shared" si="5"/>
        <v>23065110</v>
      </c>
      <c r="F332"/>
    </row>
    <row r="333" spans="1:6" x14ac:dyDescent="0.25">
      <c r="A333" s="9">
        <v>332</v>
      </c>
      <c r="B333" s="9">
        <v>455</v>
      </c>
      <c r="C333" s="10" t="s">
        <v>754</v>
      </c>
      <c r="D333" s="26">
        <v>22077050</v>
      </c>
      <c r="E333" t="str">
        <f t="shared" si="5"/>
        <v>22077050</v>
      </c>
      <c r="F333"/>
    </row>
    <row r="334" spans="1:6" x14ac:dyDescent="0.25">
      <c r="A334" s="9">
        <v>333</v>
      </c>
      <c r="B334" s="9">
        <v>456</v>
      </c>
      <c r="C334" s="10" t="s">
        <v>755</v>
      </c>
      <c r="D334" s="26">
        <v>35027100</v>
      </c>
      <c r="E334" t="str">
        <f t="shared" si="5"/>
        <v>35027100</v>
      </c>
      <c r="F334"/>
    </row>
    <row r="335" spans="1:6" x14ac:dyDescent="0.25">
      <c r="A335" s="9">
        <v>334</v>
      </c>
      <c r="B335" s="9">
        <v>457</v>
      </c>
      <c r="C335" s="10" t="s">
        <v>756</v>
      </c>
      <c r="D335" s="26">
        <v>52057050</v>
      </c>
      <c r="E335" t="str">
        <f t="shared" si="5"/>
        <v>52057050</v>
      </c>
      <c r="F335"/>
    </row>
    <row r="336" spans="1:6" x14ac:dyDescent="0.25">
      <c r="A336" s="9">
        <v>335</v>
      </c>
      <c r="B336" s="9">
        <v>458</v>
      </c>
      <c r="C336" s="10" t="s">
        <v>757</v>
      </c>
      <c r="D336" s="26">
        <v>26187040</v>
      </c>
      <c r="E336" t="str">
        <f t="shared" si="5"/>
        <v>26187040</v>
      </c>
      <c r="F336"/>
    </row>
    <row r="337" spans="1:6" x14ac:dyDescent="0.25">
      <c r="A337" s="9">
        <v>336</v>
      </c>
      <c r="B337" s="9">
        <v>459</v>
      </c>
      <c r="C337" s="10" t="s">
        <v>758</v>
      </c>
      <c r="D337" s="26">
        <v>2904700095</v>
      </c>
      <c r="E337" t="str">
        <f t="shared" si="5"/>
        <v>2904700095</v>
      </c>
      <c r="F337"/>
    </row>
    <row r="338" spans="1:6" x14ac:dyDescent="0.25">
      <c r="A338" s="9">
        <v>337</v>
      </c>
      <c r="B338" s="9">
        <v>460</v>
      </c>
      <c r="C338" s="10" t="s">
        <v>759</v>
      </c>
      <c r="D338" s="26">
        <v>23067060</v>
      </c>
      <c r="E338" t="str">
        <f t="shared" si="5"/>
        <v>23067060</v>
      </c>
      <c r="F338"/>
    </row>
    <row r="339" spans="1:6" x14ac:dyDescent="0.25">
      <c r="A339" s="9">
        <v>338</v>
      </c>
      <c r="B339" s="9">
        <v>461</v>
      </c>
      <c r="C339" s="10" t="s">
        <v>760</v>
      </c>
      <c r="D339" s="26">
        <v>23217080</v>
      </c>
      <c r="E339" t="str">
        <f t="shared" si="5"/>
        <v>23217080</v>
      </c>
      <c r="F339"/>
    </row>
    <row r="340" spans="1:6" x14ac:dyDescent="0.25">
      <c r="A340" s="9">
        <v>339</v>
      </c>
      <c r="B340" s="9">
        <v>462</v>
      </c>
      <c r="C340" s="10" t="s">
        <v>761</v>
      </c>
      <c r="D340" s="26">
        <v>26207080</v>
      </c>
      <c r="E340" t="str">
        <f t="shared" si="5"/>
        <v>26207080</v>
      </c>
      <c r="F340"/>
    </row>
    <row r="341" spans="1:6" x14ac:dyDescent="0.25">
      <c r="A341" s="9">
        <v>340</v>
      </c>
      <c r="B341" s="9">
        <v>463</v>
      </c>
      <c r="C341" s="10" t="s">
        <v>762</v>
      </c>
      <c r="D341" s="26">
        <v>23085080</v>
      </c>
      <c r="E341" t="str">
        <f t="shared" si="5"/>
        <v>23085080</v>
      </c>
      <c r="F341"/>
    </row>
    <row r="342" spans="1:6" x14ac:dyDescent="0.25">
      <c r="A342" s="9">
        <v>341</v>
      </c>
      <c r="B342" s="9">
        <v>991</v>
      </c>
      <c r="C342" s="10" t="s">
        <v>763</v>
      </c>
      <c r="D342" s="26">
        <v>14019030</v>
      </c>
      <c r="E342" t="str">
        <f t="shared" si="5"/>
        <v>14019030</v>
      </c>
      <c r="F342"/>
    </row>
    <row r="343" spans="1:6" x14ac:dyDescent="0.25">
      <c r="A343" s="9">
        <v>342</v>
      </c>
      <c r="B343" s="9">
        <v>992</v>
      </c>
      <c r="C343" s="10" t="s">
        <v>764</v>
      </c>
      <c r="D343" s="26">
        <v>12067001</v>
      </c>
      <c r="E343" t="str">
        <f t="shared" si="5"/>
        <v>12067001</v>
      </c>
      <c r="F343"/>
    </row>
    <row r="344" spans="1:6" x14ac:dyDescent="0.25">
      <c r="A344" s="9">
        <v>343</v>
      </c>
      <c r="B344" s="9">
        <v>994</v>
      </c>
      <c r="C344" s="10" t="s">
        <v>765</v>
      </c>
      <c r="D344" s="26">
        <v>29057002</v>
      </c>
      <c r="E344" t="str">
        <f t="shared" si="5"/>
        <v>29057002</v>
      </c>
      <c r="F344"/>
    </row>
    <row r="345" spans="1:6" x14ac:dyDescent="0.25">
      <c r="A345" s="9">
        <v>344</v>
      </c>
      <c r="B345" s="9">
        <v>995</v>
      </c>
      <c r="C345" s="10" t="s">
        <v>766</v>
      </c>
      <c r="D345" s="26">
        <v>29057003</v>
      </c>
      <c r="E345" t="str">
        <f t="shared" si="5"/>
        <v>29057003</v>
      </c>
      <c r="F345"/>
    </row>
    <row r="346" spans="1:6" x14ac:dyDescent="0.25">
      <c r="A346" s="9">
        <v>345</v>
      </c>
      <c r="B346" s="9">
        <v>997</v>
      </c>
      <c r="C346" s="10" t="s">
        <v>767</v>
      </c>
      <c r="D346" s="26">
        <v>29057001</v>
      </c>
      <c r="E346" t="str">
        <f t="shared" si="5"/>
        <v>29057001</v>
      </c>
      <c r="F346"/>
    </row>
    <row r="347" spans="1:6" x14ac:dyDescent="0.25">
      <c r="A347" s="9">
        <v>346</v>
      </c>
      <c r="B347" s="9">
        <v>999</v>
      </c>
      <c r="C347" s="10" t="s">
        <v>768</v>
      </c>
      <c r="D347" s="26">
        <v>29057004</v>
      </c>
      <c r="E347" t="str">
        <f t="shared" si="5"/>
        <v>29057004</v>
      </c>
      <c r="F347"/>
    </row>
    <row r="348" spans="1:6" x14ac:dyDescent="0.25">
      <c r="A348" s="9">
        <v>347</v>
      </c>
      <c r="B348" s="9">
        <v>1100</v>
      </c>
      <c r="C348" s="10" t="s">
        <v>769</v>
      </c>
      <c r="D348" s="26">
        <v>33035010</v>
      </c>
      <c r="E348" t="str">
        <f t="shared" si="5"/>
        <v>33035010</v>
      </c>
      <c r="F348"/>
    </row>
    <row r="349" spans="1:6" x14ac:dyDescent="0.25">
      <c r="A349" s="9">
        <v>348</v>
      </c>
      <c r="B349" s="9">
        <v>1101</v>
      </c>
      <c r="C349" s="10" t="s">
        <v>770</v>
      </c>
      <c r="D349" s="26">
        <v>35097080</v>
      </c>
      <c r="E349" t="str">
        <f t="shared" si="5"/>
        <v>35097080</v>
      </c>
      <c r="F349"/>
    </row>
    <row r="350" spans="1:6" x14ac:dyDescent="0.25">
      <c r="A350" s="9">
        <v>349</v>
      </c>
      <c r="B350" s="9">
        <v>1104</v>
      </c>
      <c r="C350" s="10" t="s">
        <v>771</v>
      </c>
      <c r="D350" s="26">
        <v>25027200</v>
      </c>
      <c r="E350" t="str">
        <f t="shared" si="5"/>
        <v>25027200</v>
      </c>
      <c r="F350"/>
    </row>
    <row r="351" spans="1:6" x14ac:dyDescent="0.25">
      <c r="A351" s="9">
        <v>350</v>
      </c>
      <c r="B351" s="9">
        <v>1107</v>
      </c>
      <c r="C351" s="10" t="s">
        <v>772</v>
      </c>
      <c r="D351" s="26">
        <v>26247020</v>
      </c>
      <c r="E351" t="str">
        <f t="shared" si="5"/>
        <v>26247020</v>
      </c>
      <c r="F351"/>
    </row>
    <row r="352" spans="1:6" x14ac:dyDescent="0.25">
      <c r="A352" s="9">
        <v>351</v>
      </c>
      <c r="B352" s="9">
        <v>1112</v>
      </c>
      <c r="C352" s="10" t="s">
        <v>773</v>
      </c>
      <c r="D352" s="26">
        <v>26127010</v>
      </c>
      <c r="E352" t="str">
        <f t="shared" si="5"/>
        <v>26127010</v>
      </c>
      <c r="F352"/>
    </row>
    <row r="353" spans="1:6" x14ac:dyDescent="0.25">
      <c r="A353" s="9">
        <v>352</v>
      </c>
      <c r="B353" s="9">
        <v>1116</v>
      </c>
      <c r="C353" s="10" t="s">
        <v>774</v>
      </c>
      <c r="D353" s="26">
        <v>42077020</v>
      </c>
      <c r="E353" t="str">
        <f t="shared" si="5"/>
        <v>42077020</v>
      </c>
      <c r="F353"/>
    </row>
    <row r="354" spans="1:6" x14ac:dyDescent="0.25">
      <c r="A354" s="9">
        <v>353</v>
      </c>
      <c r="B354" s="9">
        <v>1122</v>
      </c>
      <c r="C354" s="10" t="s">
        <v>775</v>
      </c>
      <c r="D354" s="26">
        <v>23127020</v>
      </c>
      <c r="E354" t="str">
        <f t="shared" si="5"/>
        <v>23127020</v>
      </c>
      <c r="F354"/>
    </row>
    <row r="355" spans="1:6" x14ac:dyDescent="0.25">
      <c r="A355" s="9">
        <v>354</v>
      </c>
      <c r="B355" s="9">
        <v>1123</v>
      </c>
      <c r="C355" s="10" t="s">
        <v>776</v>
      </c>
      <c r="D355" s="26">
        <v>51027050</v>
      </c>
      <c r="E355" t="str">
        <f t="shared" si="5"/>
        <v>51027050</v>
      </c>
      <c r="F355"/>
    </row>
    <row r="356" spans="1:6" x14ac:dyDescent="0.25">
      <c r="A356" s="9">
        <v>355</v>
      </c>
      <c r="B356" s="9">
        <v>1127</v>
      </c>
      <c r="C356" s="10" t="s">
        <v>777</v>
      </c>
      <c r="D356" s="26">
        <v>51025090</v>
      </c>
      <c r="E356" t="str">
        <f t="shared" si="5"/>
        <v>51025090</v>
      </c>
      <c r="F356"/>
    </row>
    <row r="357" spans="1:6" x14ac:dyDescent="0.25">
      <c r="A357" s="9">
        <v>356</v>
      </c>
      <c r="B357" s="9">
        <v>1133</v>
      </c>
      <c r="C357" s="10" t="s">
        <v>778</v>
      </c>
      <c r="D357" s="26">
        <v>44197020</v>
      </c>
      <c r="E357" t="str">
        <f t="shared" si="5"/>
        <v>44197020</v>
      </c>
      <c r="F357"/>
    </row>
    <row r="358" spans="1:6" x14ac:dyDescent="0.25">
      <c r="A358" s="9">
        <v>357</v>
      </c>
      <c r="B358" s="9">
        <v>1192</v>
      </c>
      <c r="C358" s="10" t="s">
        <v>779</v>
      </c>
      <c r="D358" s="26">
        <v>26155110</v>
      </c>
      <c r="E358" t="str">
        <f t="shared" si="5"/>
        <v>26155110</v>
      </c>
      <c r="F358"/>
    </row>
    <row r="359" spans="1:6" x14ac:dyDescent="0.25">
      <c r="A359" s="9">
        <v>358</v>
      </c>
      <c r="B359" s="9">
        <v>1504</v>
      </c>
      <c r="C359" s="10" t="s">
        <v>780</v>
      </c>
      <c r="D359" s="26">
        <v>35227070</v>
      </c>
      <c r="E359" t="str">
        <f t="shared" si="5"/>
        <v>35227070</v>
      </c>
      <c r="F359"/>
    </row>
    <row r="360" spans="1:6" x14ac:dyDescent="0.25">
      <c r="A360" s="9">
        <v>359</v>
      </c>
      <c r="B360" s="9">
        <v>1652</v>
      </c>
      <c r="C360" s="10" t="s">
        <v>781</v>
      </c>
      <c r="D360" s="26">
        <v>11080010</v>
      </c>
      <c r="E360" t="str">
        <f t="shared" si="5"/>
        <v>11080010</v>
      </c>
      <c r="F360"/>
    </row>
    <row r="361" spans="1:6" x14ac:dyDescent="0.25">
      <c r="A361" s="9">
        <v>360</v>
      </c>
      <c r="B361" s="9">
        <v>1654</v>
      </c>
      <c r="C361" s="10" t="s">
        <v>782</v>
      </c>
      <c r="D361" s="26">
        <v>54057020</v>
      </c>
      <c r="E361" t="str">
        <f t="shared" si="5"/>
        <v>54057020</v>
      </c>
      <c r="F361"/>
    </row>
    <row r="362" spans="1:6" x14ac:dyDescent="0.25">
      <c r="A362" s="9">
        <v>361</v>
      </c>
      <c r="B362" s="9">
        <v>1655</v>
      </c>
      <c r="C362" s="10" t="s">
        <v>783</v>
      </c>
      <c r="D362" s="26">
        <v>11105020</v>
      </c>
      <c r="E362" t="str">
        <f t="shared" si="5"/>
        <v>11105020</v>
      </c>
      <c r="F362"/>
    </row>
    <row r="363" spans="1:6" x14ac:dyDescent="0.25">
      <c r="A363" s="9">
        <v>362</v>
      </c>
      <c r="B363" s="9">
        <v>1657</v>
      </c>
      <c r="C363" s="10" t="s">
        <v>784</v>
      </c>
      <c r="D363" s="26">
        <v>11017020</v>
      </c>
      <c r="E363" t="str">
        <f t="shared" si="5"/>
        <v>11017020</v>
      </c>
      <c r="F363"/>
    </row>
    <row r="364" spans="1:6" x14ac:dyDescent="0.25">
      <c r="A364" s="9">
        <v>363</v>
      </c>
      <c r="B364" s="9">
        <v>1659</v>
      </c>
      <c r="C364" s="10" t="s">
        <v>785</v>
      </c>
      <c r="D364" s="26">
        <v>11035030</v>
      </c>
      <c r="E364" t="str">
        <f t="shared" si="5"/>
        <v>11035030</v>
      </c>
      <c r="F364"/>
    </row>
    <row r="365" spans="1:6" x14ac:dyDescent="0.25">
      <c r="A365" s="9">
        <v>364</v>
      </c>
      <c r="B365" s="9">
        <v>1661</v>
      </c>
      <c r="C365" s="10" t="s">
        <v>786</v>
      </c>
      <c r="D365" s="26">
        <v>55015020</v>
      </c>
      <c r="E365" t="str">
        <f t="shared" si="5"/>
        <v>55015020</v>
      </c>
      <c r="F365"/>
    </row>
    <row r="366" spans="1:6" x14ac:dyDescent="0.25">
      <c r="A366" s="9">
        <v>365</v>
      </c>
      <c r="B366" s="9">
        <v>1663</v>
      </c>
      <c r="C366" s="10" t="s">
        <v>787</v>
      </c>
      <c r="D366" s="26">
        <v>54020020</v>
      </c>
      <c r="E366" t="str">
        <f t="shared" si="5"/>
        <v>54020020</v>
      </c>
      <c r="F366"/>
    </row>
    <row r="367" spans="1:6" x14ac:dyDescent="0.25">
      <c r="A367" s="9">
        <v>366</v>
      </c>
      <c r="B367" s="9">
        <v>1667</v>
      </c>
      <c r="C367" s="10" t="s">
        <v>788</v>
      </c>
      <c r="D367" s="26">
        <v>56010040</v>
      </c>
      <c r="E367" t="str">
        <f t="shared" si="5"/>
        <v>56010040</v>
      </c>
      <c r="F367"/>
    </row>
    <row r="368" spans="1:6" x14ac:dyDescent="0.25">
      <c r="A368" s="9">
        <v>367</v>
      </c>
      <c r="B368" s="9">
        <v>1668</v>
      </c>
      <c r="C368" s="10" t="s">
        <v>789</v>
      </c>
      <c r="D368" s="26">
        <v>11120040</v>
      </c>
      <c r="E368" t="str">
        <f t="shared" si="5"/>
        <v>11120040</v>
      </c>
      <c r="F368"/>
    </row>
    <row r="369" spans="1:70" x14ac:dyDescent="0.25">
      <c r="A369" s="9">
        <v>368</v>
      </c>
      <c r="B369" s="9">
        <v>1672</v>
      </c>
      <c r="C369" s="10" t="s">
        <v>790</v>
      </c>
      <c r="D369" s="26">
        <v>56015040</v>
      </c>
      <c r="E369" t="str">
        <f t="shared" si="5"/>
        <v>56015040</v>
      </c>
      <c r="F369"/>
    </row>
    <row r="370" spans="1:70" x14ac:dyDescent="0.25">
      <c r="A370" s="9">
        <v>369</v>
      </c>
      <c r="B370" s="9">
        <v>1940</v>
      </c>
      <c r="C370" s="10" t="s">
        <v>35</v>
      </c>
      <c r="D370" t="s">
        <v>820</v>
      </c>
      <c r="E370" t="str">
        <f t="shared" si="5"/>
        <v>13027040]</v>
      </c>
      <c r="F370"/>
    </row>
    <row r="371" spans="1:70" ht="15.75" thickBot="1" x14ac:dyDescent="0.3">
      <c r="A371" s="9">
        <v>370</v>
      </c>
      <c r="B371" s="9">
        <v>1954</v>
      </c>
      <c r="C371" s="10" t="s">
        <v>791</v>
      </c>
      <c r="D371" s="26">
        <v>21057130</v>
      </c>
      <c r="E371" t="str">
        <f t="shared" si="5"/>
        <v>21057130</v>
      </c>
      <c r="F371"/>
    </row>
    <row r="372" spans="1:70" x14ac:dyDescent="0.25">
      <c r="A372" s="9">
        <v>371</v>
      </c>
      <c r="B372" s="9">
        <v>2148</v>
      </c>
      <c r="C372" s="10" t="s">
        <v>792</v>
      </c>
      <c r="D372" s="26">
        <v>1111500203</v>
      </c>
      <c r="E372" t="str">
        <f t="shared" si="5"/>
        <v>1111500203</v>
      </c>
      <c r="F372" s="12" t="s">
        <v>793</v>
      </c>
    </row>
    <row r="373" spans="1:70" s="16" customFormat="1" x14ac:dyDescent="0.25">
      <c r="A373" s="9">
        <v>372</v>
      </c>
      <c r="B373" s="13">
        <v>349</v>
      </c>
      <c r="C373" s="14" t="s">
        <v>794</v>
      </c>
      <c r="D373" s="26">
        <v>1602500044</v>
      </c>
      <c r="E373" t="str">
        <f t="shared" si="5"/>
        <v>1602500044</v>
      </c>
      <c r="F373" s="15">
        <v>349</v>
      </c>
      <c r="G373"/>
      <c r="H373"/>
      <c r="I373"/>
      <c r="J373"/>
      <c r="K373">
        <v>2237</v>
      </c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</row>
    <row r="374" spans="1:70" x14ac:dyDescent="0.25">
      <c r="A374" s="9">
        <v>373</v>
      </c>
      <c r="B374" s="13">
        <v>8</v>
      </c>
      <c r="C374" s="14" t="s">
        <v>795</v>
      </c>
      <c r="D374" s="26">
        <v>23125140</v>
      </c>
      <c r="E374" t="str">
        <f t="shared" si="5"/>
        <v>23125140</v>
      </c>
      <c r="F374" s="15">
        <v>8</v>
      </c>
      <c r="K374">
        <v>2242</v>
      </c>
    </row>
    <row r="375" spans="1:70" s="16" customFormat="1" x14ac:dyDescent="0.25">
      <c r="A375" s="9">
        <v>374</v>
      </c>
      <c r="B375" s="13">
        <v>48</v>
      </c>
      <c r="C375" s="14" t="s">
        <v>796</v>
      </c>
      <c r="D375" s="26">
        <v>35075070</v>
      </c>
      <c r="E375" t="str">
        <f t="shared" si="5"/>
        <v>35075070</v>
      </c>
      <c r="F375" s="15">
        <v>48</v>
      </c>
      <c r="G375"/>
      <c r="H375"/>
      <c r="I375"/>
      <c r="J375"/>
      <c r="K375">
        <v>2243</v>
      </c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</row>
    <row r="376" spans="1:70" x14ac:dyDescent="0.25">
      <c r="A376" s="9">
        <v>375</v>
      </c>
      <c r="B376" s="13">
        <v>115</v>
      </c>
      <c r="C376" s="14" t="s">
        <v>797</v>
      </c>
      <c r="D376" s="26">
        <v>21255170</v>
      </c>
      <c r="E376" t="str">
        <f t="shared" si="5"/>
        <v>21255170</v>
      </c>
      <c r="F376" s="15">
        <v>115</v>
      </c>
      <c r="K376">
        <v>2244</v>
      </c>
    </row>
    <row r="377" spans="1:70" x14ac:dyDescent="0.25">
      <c r="A377" s="9">
        <v>376</v>
      </c>
      <c r="B377" s="13">
        <v>137</v>
      </c>
      <c r="C377" s="14" t="s">
        <v>798</v>
      </c>
      <c r="D377" s="26">
        <v>44015070</v>
      </c>
      <c r="E377" t="str">
        <f t="shared" si="5"/>
        <v>44015070</v>
      </c>
      <c r="F377" s="15">
        <v>137</v>
      </c>
      <c r="K377">
        <v>2246</v>
      </c>
    </row>
    <row r="378" spans="1:70" x14ac:dyDescent="0.25">
      <c r="A378" s="9">
        <v>377</v>
      </c>
      <c r="B378" s="13">
        <v>138</v>
      </c>
      <c r="C378" s="14" t="s">
        <v>799</v>
      </c>
      <c r="D378" s="26">
        <v>55015010</v>
      </c>
      <c r="E378" t="str">
        <f t="shared" si="5"/>
        <v>55015010</v>
      </c>
      <c r="F378" s="15">
        <v>138</v>
      </c>
      <c r="K378">
        <v>2247</v>
      </c>
    </row>
    <row r="379" spans="1:70" x14ac:dyDescent="0.25">
      <c r="A379" s="9">
        <v>378</v>
      </c>
      <c r="B379" s="13">
        <v>171</v>
      </c>
      <c r="C379" s="14" t="s">
        <v>800</v>
      </c>
      <c r="D379" s="26">
        <v>11047020</v>
      </c>
      <c r="E379" t="str">
        <f t="shared" si="5"/>
        <v>11047020</v>
      </c>
      <c r="F379" s="15">
        <v>171</v>
      </c>
      <c r="K379">
        <v>2248</v>
      </c>
    </row>
    <row r="380" spans="1:70" x14ac:dyDescent="0.25">
      <c r="A380" s="9">
        <v>379</v>
      </c>
      <c r="B380" s="13">
        <v>178</v>
      </c>
      <c r="C380" s="14" t="s">
        <v>801</v>
      </c>
      <c r="D380" s="26">
        <v>35035110</v>
      </c>
      <c r="E380" t="str">
        <f t="shared" si="5"/>
        <v>35035110</v>
      </c>
      <c r="F380" s="15">
        <v>178</v>
      </c>
      <c r="K380">
        <v>2249</v>
      </c>
    </row>
    <row r="381" spans="1:70" x14ac:dyDescent="0.25">
      <c r="A381" s="9">
        <v>380</v>
      </c>
      <c r="B381" s="13">
        <v>200</v>
      </c>
      <c r="C381" s="14" t="s">
        <v>802</v>
      </c>
      <c r="D381" s="26">
        <v>24035360</v>
      </c>
      <c r="E381" t="str">
        <f t="shared" si="5"/>
        <v>24035360</v>
      </c>
      <c r="F381" s="15">
        <v>200</v>
      </c>
      <c r="K381">
        <v>2250</v>
      </c>
    </row>
    <row r="382" spans="1:70" x14ac:dyDescent="0.25">
      <c r="A382" s="9">
        <v>381</v>
      </c>
      <c r="B382" s="13">
        <v>234</v>
      </c>
      <c r="C382" s="14" t="s">
        <v>803</v>
      </c>
      <c r="D382" s="26">
        <v>52035040</v>
      </c>
      <c r="E382" t="str">
        <f t="shared" si="5"/>
        <v>52035040</v>
      </c>
      <c r="F382" s="15">
        <v>234</v>
      </c>
      <c r="K382">
        <v>2251</v>
      </c>
    </row>
    <row r="383" spans="1:70" x14ac:dyDescent="0.25">
      <c r="A383" s="9">
        <v>382</v>
      </c>
      <c r="B383" s="13">
        <v>92</v>
      </c>
      <c r="C383" s="14" t="s">
        <v>804</v>
      </c>
      <c r="D383" s="26">
        <v>52055170</v>
      </c>
      <c r="E383" t="str">
        <f t="shared" si="5"/>
        <v>52055170</v>
      </c>
      <c r="F383" s="15">
        <v>92</v>
      </c>
      <c r="K383">
        <v>2252</v>
      </c>
    </row>
    <row r="384" spans="1:70" x14ac:dyDescent="0.25">
      <c r="A384" s="9">
        <v>383</v>
      </c>
      <c r="B384" s="13">
        <v>201</v>
      </c>
      <c r="C384" s="14" t="s">
        <v>805</v>
      </c>
      <c r="D384" s="26">
        <v>24035410</v>
      </c>
      <c r="E384" t="str">
        <f t="shared" si="5"/>
        <v>24035410</v>
      </c>
      <c r="F384" s="15">
        <v>201</v>
      </c>
      <c r="K384">
        <v>2253</v>
      </c>
    </row>
    <row r="385" spans="1:11" x14ac:dyDescent="0.25">
      <c r="A385" s="9">
        <v>384</v>
      </c>
      <c r="B385" s="13">
        <v>206</v>
      </c>
      <c r="C385" s="14" t="s">
        <v>806</v>
      </c>
      <c r="D385" s="26">
        <v>26255030</v>
      </c>
      <c r="E385" t="str">
        <f t="shared" si="5"/>
        <v>26255030</v>
      </c>
      <c r="F385" s="15">
        <v>206</v>
      </c>
      <c r="K385">
        <v>2254</v>
      </c>
    </row>
    <row r="386" spans="1:11" x14ac:dyDescent="0.25">
      <c r="A386" s="9">
        <v>385</v>
      </c>
      <c r="B386" s="13">
        <v>244</v>
      </c>
      <c r="C386" s="14" t="s">
        <v>807</v>
      </c>
      <c r="D386" s="26">
        <v>52055160</v>
      </c>
      <c r="E386" t="str">
        <f t="shared" si="5"/>
        <v>52055160</v>
      </c>
      <c r="F386" s="15">
        <v>244</v>
      </c>
      <c r="K386">
        <v>2256</v>
      </c>
    </row>
    <row r="387" spans="1:11" x14ac:dyDescent="0.25">
      <c r="A387" s="9">
        <v>386</v>
      </c>
      <c r="B387" s="13">
        <v>273</v>
      </c>
      <c r="C387" s="14" t="s">
        <v>808</v>
      </c>
      <c r="D387" s="26">
        <v>44017120</v>
      </c>
      <c r="E387" t="str">
        <f t="shared" ref="E387:E420" si="6">MID(C387, SEARCH("[", C387) + 1, SEARCH(";", C387 &amp; ";") - SEARCH("[", C387) - 1)</f>
        <v>44017120</v>
      </c>
      <c r="F387" s="15">
        <v>273</v>
      </c>
      <c r="K387">
        <v>2257</v>
      </c>
    </row>
    <row r="388" spans="1:11" x14ac:dyDescent="0.25">
      <c r="A388" s="9">
        <v>387</v>
      </c>
      <c r="B388" s="13">
        <v>276</v>
      </c>
      <c r="C388" s="14" t="s">
        <v>809</v>
      </c>
      <c r="D388" s="26">
        <v>25020140</v>
      </c>
      <c r="E388" t="str">
        <f t="shared" si="6"/>
        <v>25020140</v>
      </c>
      <c r="F388" s="15">
        <v>276</v>
      </c>
      <c r="K388">
        <v>2258</v>
      </c>
    </row>
    <row r="389" spans="1:11" x14ac:dyDescent="0.25">
      <c r="A389" s="9">
        <v>388</v>
      </c>
      <c r="B389" s="13">
        <v>286</v>
      </c>
      <c r="C389" s="14" t="s">
        <v>810</v>
      </c>
      <c r="D389" s="26">
        <v>23087150</v>
      </c>
      <c r="E389" t="str">
        <f t="shared" si="6"/>
        <v>23087150</v>
      </c>
      <c r="F389" s="15">
        <v>286</v>
      </c>
      <c r="K389">
        <v>2259</v>
      </c>
    </row>
    <row r="390" spans="1:11" x14ac:dyDescent="0.25">
      <c r="A390" s="9">
        <v>389</v>
      </c>
      <c r="B390" s="13">
        <v>341</v>
      </c>
      <c r="C390" s="14" t="s">
        <v>811</v>
      </c>
      <c r="D390" s="26">
        <v>51035020</v>
      </c>
      <c r="E390" t="str">
        <f t="shared" si="6"/>
        <v>51035020</v>
      </c>
      <c r="F390" s="15">
        <v>341</v>
      </c>
      <c r="K390">
        <v>2260</v>
      </c>
    </row>
    <row r="391" spans="1:11" x14ac:dyDescent="0.25">
      <c r="A391" s="9">
        <v>390</v>
      </c>
      <c r="B391" s="13">
        <v>402</v>
      </c>
      <c r="C391" s="14" t="s">
        <v>812</v>
      </c>
      <c r="D391" s="26">
        <v>51039010</v>
      </c>
      <c r="E391" t="str">
        <f t="shared" si="6"/>
        <v>51039010</v>
      </c>
      <c r="F391" s="15">
        <v>402</v>
      </c>
      <c r="K391">
        <v>2261</v>
      </c>
    </row>
    <row r="392" spans="1:11" x14ac:dyDescent="0.25">
      <c r="A392" s="9">
        <v>391</v>
      </c>
      <c r="B392" s="13">
        <v>407</v>
      </c>
      <c r="C392" s="14" t="s">
        <v>813</v>
      </c>
      <c r="D392" s="26">
        <v>2629700151</v>
      </c>
      <c r="E392" t="str">
        <f t="shared" si="6"/>
        <v>2629700151</v>
      </c>
      <c r="F392" s="15">
        <v>407</v>
      </c>
      <c r="K392">
        <v>2262</v>
      </c>
    </row>
    <row r="393" spans="1:11" x14ac:dyDescent="0.25">
      <c r="A393" s="9">
        <v>392</v>
      </c>
      <c r="B393" s="13">
        <v>443</v>
      </c>
      <c r="C393" s="14" t="s">
        <v>814</v>
      </c>
      <c r="D393" s="26">
        <v>23067040</v>
      </c>
      <c r="E393" t="str">
        <f t="shared" si="6"/>
        <v>23067040</v>
      </c>
      <c r="F393" s="15">
        <v>443</v>
      </c>
      <c r="K393">
        <v>2263</v>
      </c>
    </row>
    <row r="394" spans="1:11" ht="15.75" thickBot="1" x14ac:dyDescent="0.3">
      <c r="A394" s="9">
        <v>393</v>
      </c>
      <c r="B394" s="13">
        <v>426</v>
      </c>
      <c r="C394" s="14" t="s">
        <v>815</v>
      </c>
      <c r="D394" s="26">
        <v>24017740</v>
      </c>
      <c r="E394" t="str">
        <f t="shared" si="6"/>
        <v>24017740</v>
      </c>
      <c r="F394" s="17">
        <v>426</v>
      </c>
      <c r="K394">
        <v>2316</v>
      </c>
    </row>
    <row r="395" spans="1:11" x14ac:dyDescent="0.25">
      <c r="A395" s="9">
        <v>394</v>
      </c>
      <c r="B395" s="9">
        <v>10</v>
      </c>
      <c r="C395" s="10" t="s">
        <v>12</v>
      </c>
      <c r="D395" s="26">
        <v>2702500107</v>
      </c>
      <c r="E395" t="str">
        <f>MID(C395, SEARCH("[", C395) + 1, SEARCH(";", C395 &amp; ";") - SEARCH("[", C395) - 2)</f>
        <v>2702500107</v>
      </c>
      <c r="F395"/>
    </row>
    <row r="396" spans="1:11" x14ac:dyDescent="0.25">
      <c r="A396" s="9">
        <v>395</v>
      </c>
      <c r="B396" s="9">
        <v>63</v>
      </c>
      <c r="C396" s="10" t="s">
        <v>65</v>
      </c>
      <c r="D396" s="26">
        <v>21115180</v>
      </c>
      <c r="E396" t="str">
        <f t="shared" ref="E396:E420" si="7">MID(C396, SEARCH("[", C396) + 1, SEARCH(";", C396 &amp; ";") - SEARCH("[", C396) - 2)</f>
        <v>21115180</v>
      </c>
      <c r="F396"/>
    </row>
    <row r="397" spans="1:11" x14ac:dyDescent="0.25">
      <c r="A397" s="9">
        <v>396</v>
      </c>
      <c r="B397" s="9">
        <v>228</v>
      </c>
      <c r="C397" s="10" t="s">
        <v>230</v>
      </c>
      <c r="D397" s="26">
        <v>11115020</v>
      </c>
      <c r="E397" t="str">
        <f t="shared" si="7"/>
        <v>11115020</v>
      </c>
      <c r="F397"/>
    </row>
    <row r="398" spans="1:11" x14ac:dyDescent="0.25">
      <c r="A398" s="9">
        <v>397</v>
      </c>
      <c r="B398" s="9">
        <v>232</v>
      </c>
      <c r="C398" s="10" t="s">
        <v>234</v>
      </c>
      <c r="D398" s="26">
        <v>12027010</v>
      </c>
      <c r="E398" t="str">
        <f t="shared" si="7"/>
        <v>12027010</v>
      </c>
      <c r="F398"/>
    </row>
    <row r="399" spans="1:11" x14ac:dyDescent="0.25">
      <c r="A399" s="9">
        <v>398</v>
      </c>
      <c r="B399" s="9">
        <v>307</v>
      </c>
      <c r="C399" s="10" t="s">
        <v>309</v>
      </c>
      <c r="D399" s="26">
        <v>26095320</v>
      </c>
      <c r="E399" t="str">
        <f t="shared" si="7"/>
        <v>26095320</v>
      </c>
      <c r="F399"/>
    </row>
    <row r="400" spans="1:11" x14ac:dyDescent="0.25">
      <c r="A400" s="9">
        <v>399</v>
      </c>
      <c r="B400" s="9">
        <v>317</v>
      </c>
      <c r="C400" s="10" t="s">
        <v>319</v>
      </c>
      <c r="D400" s="26">
        <v>26157170</v>
      </c>
      <c r="E400" t="str">
        <f t="shared" si="7"/>
        <v>26157170</v>
      </c>
      <c r="F400"/>
    </row>
    <row r="401" spans="1:6" x14ac:dyDescent="0.25">
      <c r="A401" s="9">
        <v>400</v>
      </c>
      <c r="B401" s="9">
        <v>341</v>
      </c>
      <c r="C401" s="10" t="s">
        <v>816</v>
      </c>
      <c r="D401" s="26">
        <v>2119700147</v>
      </c>
      <c r="E401" t="str">
        <f t="shared" si="7"/>
        <v>2119700147</v>
      </c>
      <c r="F401"/>
    </row>
    <row r="402" spans="1:6" x14ac:dyDescent="0.25">
      <c r="A402" s="9">
        <v>401</v>
      </c>
      <c r="B402" s="9">
        <v>352</v>
      </c>
      <c r="C402" s="10" t="s">
        <v>354</v>
      </c>
      <c r="D402" s="26">
        <v>35025090</v>
      </c>
      <c r="E402" t="str">
        <f t="shared" si="7"/>
        <v>35025090</v>
      </c>
      <c r="F402"/>
    </row>
    <row r="403" spans="1:6" x14ac:dyDescent="0.25">
      <c r="A403" s="9">
        <v>402</v>
      </c>
      <c r="B403" s="9">
        <v>354</v>
      </c>
      <c r="C403" s="10" t="s">
        <v>356</v>
      </c>
      <c r="D403" s="26">
        <v>35027510</v>
      </c>
      <c r="E403" t="str">
        <f t="shared" si="7"/>
        <v>35027510</v>
      </c>
      <c r="F403"/>
    </row>
    <row r="404" spans="1:6" x14ac:dyDescent="0.25">
      <c r="A404" s="9">
        <v>403</v>
      </c>
      <c r="B404" s="9">
        <v>358</v>
      </c>
      <c r="C404" s="10" t="s">
        <v>360</v>
      </c>
      <c r="D404" s="26">
        <v>35027500</v>
      </c>
      <c r="E404" t="str">
        <f t="shared" si="7"/>
        <v>35027500</v>
      </c>
      <c r="F404"/>
    </row>
    <row r="405" spans="1:6" x14ac:dyDescent="0.25">
      <c r="A405" s="9">
        <v>404</v>
      </c>
      <c r="B405" s="9">
        <v>364</v>
      </c>
      <c r="C405" s="10" t="s">
        <v>366</v>
      </c>
      <c r="D405" s="26">
        <v>26247050</v>
      </c>
      <c r="E405" t="str">
        <f t="shared" si="7"/>
        <v>26247050</v>
      </c>
      <c r="F405"/>
    </row>
    <row r="406" spans="1:6" x14ac:dyDescent="0.25">
      <c r="A406" s="9">
        <v>405</v>
      </c>
      <c r="B406" s="9">
        <v>365</v>
      </c>
      <c r="C406" s="10" t="s">
        <v>367</v>
      </c>
      <c r="D406" s="26">
        <v>26217050</v>
      </c>
      <c r="E406" t="str">
        <f t="shared" si="7"/>
        <v>26217050</v>
      </c>
      <c r="F406"/>
    </row>
    <row r="407" spans="1:6" x14ac:dyDescent="0.25">
      <c r="A407" s="9">
        <v>406</v>
      </c>
      <c r="B407" s="9">
        <v>370</v>
      </c>
      <c r="C407" s="10" t="s">
        <v>372</v>
      </c>
      <c r="D407" s="26">
        <v>25025000</v>
      </c>
      <c r="E407" t="str">
        <f t="shared" si="7"/>
        <v>25025000</v>
      </c>
      <c r="F407"/>
    </row>
    <row r="408" spans="1:6" x14ac:dyDescent="0.25">
      <c r="A408" s="9">
        <v>407</v>
      </c>
      <c r="B408" s="9">
        <v>371</v>
      </c>
      <c r="C408" s="10" t="s">
        <v>373</v>
      </c>
      <c r="D408" s="26">
        <v>2804500076</v>
      </c>
      <c r="E408" t="str">
        <f t="shared" si="7"/>
        <v>2804500076</v>
      </c>
      <c r="F408"/>
    </row>
    <row r="409" spans="1:6" x14ac:dyDescent="0.25">
      <c r="A409" s="9">
        <v>408</v>
      </c>
      <c r="B409" s="9">
        <v>378</v>
      </c>
      <c r="C409" s="10" t="s">
        <v>380</v>
      </c>
      <c r="D409" s="26">
        <v>11155030</v>
      </c>
      <c r="E409" t="str">
        <f t="shared" si="7"/>
        <v>11155030</v>
      </c>
      <c r="F409"/>
    </row>
    <row r="410" spans="1:6" x14ac:dyDescent="0.25">
      <c r="A410" s="9">
        <v>409</v>
      </c>
      <c r="B410" s="9">
        <v>380</v>
      </c>
      <c r="C410" s="10" t="s">
        <v>382</v>
      </c>
      <c r="D410" s="26">
        <v>12015110</v>
      </c>
      <c r="E410" t="str">
        <f t="shared" si="7"/>
        <v>12015110</v>
      </c>
      <c r="F410"/>
    </row>
    <row r="411" spans="1:6" x14ac:dyDescent="0.25">
      <c r="A411" s="9">
        <v>410</v>
      </c>
      <c r="B411" s="9">
        <v>381</v>
      </c>
      <c r="C411" s="10" t="s">
        <v>383</v>
      </c>
      <c r="D411" s="26">
        <v>27015290</v>
      </c>
      <c r="E411" t="str">
        <f t="shared" si="7"/>
        <v>27015290</v>
      </c>
      <c r="F411"/>
    </row>
    <row r="412" spans="1:6" x14ac:dyDescent="0.25">
      <c r="A412" s="9">
        <v>411</v>
      </c>
      <c r="B412" s="9">
        <v>382</v>
      </c>
      <c r="C412" s="10" t="s">
        <v>384</v>
      </c>
      <c r="D412" s="26">
        <v>27037030</v>
      </c>
      <c r="E412" t="str">
        <f t="shared" si="7"/>
        <v>27037030</v>
      </c>
      <c r="F412"/>
    </row>
    <row r="413" spans="1:6" x14ac:dyDescent="0.25">
      <c r="A413" s="9">
        <v>412</v>
      </c>
      <c r="B413" s="9">
        <v>383</v>
      </c>
      <c r="C413" s="10" t="s">
        <v>385</v>
      </c>
      <c r="D413" s="26">
        <v>2308500068</v>
      </c>
      <c r="E413" t="str">
        <f t="shared" si="7"/>
        <v>2308500068</v>
      </c>
      <c r="F413"/>
    </row>
    <row r="414" spans="1:6" x14ac:dyDescent="0.25">
      <c r="A414" s="9">
        <v>413</v>
      </c>
      <c r="B414" s="9">
        <v>384</v>
      </c>
      <c r="C414" s="10" t="s">
        <v>386</v>
      </c>
      <c r="D414" s="26">
        <v>1105002</v>
      </c>
      <c r="E414" t="str">
        <f t="shared" si="7"/>
        <v>1105002</v>
      </c>
      <c r="F414"/>
    </row>
    <row r="415" spans="1:6" x14ac:dyDescent="0.25">
      <c r="A415" s="9">
        <v>414</v>
      </c>
      <c r="B415" s="9">
        <v>388</v>
      </c>
      <c r="C415" s="10" t="s">
        <v>390</v>
      </c>
      <c r="D415" s="26">
        <v>2501700189</v>
      </c>
      <c r="E415" t="str">
        <f t="shared" si="7"/>
        <v>2501700189</v>
      </c>
      <c r="F415"/>
    </row>
    <row r="416" spans="1:6" x14ac:dyDescent="0.25">
      <c r="A416" s="9">
        <v>415</v>
      </c>
      <c r="B416" s="9">
        <v>392</v>
      </c>
      <c r="C416" s="10" t="s">
        <v>817</v>
      </c>
      <c r="D416" s="26">
        <v>21050090</v>
      </c>
      <c r="E416" t="str">
        <f t="shared" si="7"/>
        <v>21050090</v>
      </c>
      <c r="F416"/>
    </row>
    <row r="417" spans="1:6" x14ac:dyDescent="0.25">
      <c r="A417" s="9">
        <v>416</v>
      </c>
      <c r="B417" s="9">
        <v>393</v>
      </c>
      <c r="C417" s="10" t="s">
        <v>395</v>
      </c>
      <c r="D417" s="26">
        <v>29065140</v>
      </c>
      <c r="E417" t="str">
        <f t="shared" si="7"/>
        <v>29065140</v>
      </c>
      <c r="F417"/>
    </row>
    <row r="418" spans="1:6" x14ac:dyDescent="0.25">
      <c r="A418" s="9">
        <v>417</v>
      </c>
      <c r="B418" s="9">
        <v>398</v>
      </c>
      <c r="C418" s="10" t="s">
        <v>400</v>
      </c>
      <c r="D418" s="26">
        <v>26057030</v>
      </c>
      <c r="E418" t="str">
        <f t="shared" si="7"/>
        <v>26057030</v>
      </c>
      <c r="F418"/>
    </row>
    <row r="419" spans="1:6" x14ac:dyDescent="0.25">
      <c r="A419" s="9">
        <v>418</v>
      </c>
      <c r="B419" s="9">
        <v>401</v>
      </c>
      <c r="C419" s="10" t="s">
        <v>403</v>
      </c>
      <c r="D419" s="26">
        <v>5311500147</v>
      </c>
      <c r="E419" t="str">
        <f t="shared" si="7"/>
        <v>5311500147</v>
      </c>
      <c r="F419"/>
    </row>
    <row r="420" spans="1:6" x14ac:dyDescent="0.25">
      <c r="A420" s="9">
        <v>419</v>
      </c>
      <c r="B420" s="18">
        <v>1155</v>
      </c>
      <c r="C420" s="10" t="s">
        <v>818</v>
      </c>
      <c r="D420" s="26">
        <v>35027002</v>
      </c>
      <c r="E420" t="str">
        <f t="shared" si="7"/>
        <v>35027002</v>
      </c>
      <c r="F420"/>
    </row>
    <row r="421" spans="1:6" x14ac:dyDescent="0.25">
      <c r="F421"/>
    </row>
    <row r="422" spans="1:6" x14ac:dyDescent="0.25">
      <c r="F422"/>
    </row>
    <row r="423" spans="1:6" x14ac:dyDescent="0.25">
      <c r="F423"/>
    </row>
    <row r="424" spans="1:6" x14ac:dyDescent="0.25">
      <c r="F424"/>
    </row>
    <row r="425" spans="1:6" x14ac:dyDescent="0.25">
      <c r="F425"/>
    </row>
    <row r="426" spans="1:6" x14ac:dyDescent="0.25">
      <c r="F426"/>
    </row>
    <row r="427" spans="1:6" x14ac:dyDescent="0.25">
      <c r="F427"/>
    </row>
    <row r="428" spans="1:6" x14ac:dyDescent="0.25">
      <c r="F428"/>
    </row>
    <row r="429" spans="1:6" x14ac:dyDescent="0.25">
      <c r="F429"/>
    </row>
    <row r="430" spans="1:6" x14ac:dyDescent="0.25">
      <c r="F430"/>
    </row>
    <row r="431" spans="1:6" x14ac:dyDescent="0.25">
      <c r="F431"/>
    </row>
    <row r="432" spans="1:6" x14ac:dyDescent="0.25">
      <c r="F432"/>
    </row>
    <row r="433" spans="6:6" x14ac:dyDescent="0.25">
      <c r="F433"/>
    </row>
    <row r="434" spans="6:6" x14ac:dyDescent="0.25">
      <c r="F434"/>
    </row>
    <row r="435" spans="6:6" x14ac:dyDescent="0.25">
      <c r="F435"/>
    </row>
    <row r="436" spans="6:6" x14ac:dyDescent="0.25">
      <c r="F436"/>
    </row>
    <row r="437" spans="6:6" x14ac:dyDescent="0.25">
      <c r="F437"/>
    </row>
    <row r="438" spans="6:6" x14ac:dyDescent="0.25">
      <c r="F438"/>
    </row>
    <row r="439" spans="6:6" x14ac:dyDescent="0.25">
      <c r="F439"/>
    </row>
    <row r="440" spans="6:6" x14ac:dyDescent="0.25">
      <c r="F440"/>
    </row>
    <row r="441" spans="6:6" x14ac:dyDescent="0.25">
      <c r="F441"/>
    </row>
    <row r="442" spans="6:6" x14ac:dyDescent="0.25">
      <c r="F442"/>
    </row>
    <row r="443" spans="6:6" x14ac:dyDescent="0.25">
      <c r="F443"/>
    </row>
    <row r="444" spans="6:6" x14ac:dyDescent="0.25">
      <c r="F444"/>
    </row>
    <row r="445" spans="6:6" x14ac:dyDescent="0.25">
      <c r="F445"/>
    </row>
    <row r="446" spans="6:6" x14ac:dyDescent="0.25">
      <c r="F446"/>
    </row>
    <row r="447" spans="6:6" x14ac:dyDescent="0.25">
      <c r="F447"/>
    </row>
    <row r="448" spans="6:6" x14ac:dyDescent="0.25">
      <c r="F448"/>
    </row>
    <row r="449" spans="6:6" x14ac:dyDescent="0.25">
      <c r="F449"/>
    </row>
    <row r="450" spans="6:6" x14ac:dyDescent="0.25">
      <c r="F450"/>
    </row>
    <row r="451" spans="6:6" x14ac:dyDescent="0.25">
      <c r="F451"/>
    </row>
    <row r="452" spans="6:6" x14ac:dyDescent="0.25">
      <c r="F452"/>
    </row>
    <row r="453" spans="6:6" x14ac:dyDescent="0.25">
      <c r="F453"/>
    </row>
    <row r="454" spans="6:6" x14ac:dyDescent="0.25">
      <c r="F454"/>
    </row>
    <row r="455" spans="6:6" x14ac:dyDescent="0.25">
      <c r="F455"/>
    </row>
    <row r="456" spans="6:6" x14ac:dyDescent="0.25">
      <c r="F456"/>
    </row>
    <row r="457" spans="6:6" x14ac:dyDescent="0.25">
      <c r="F457"/>
    </row>
    <row r="458" spans="6:6" x14ac:dyDescent="0.25">
      <c r="F458"/>
    </row>
    <row r="459" spans="6:6" x14ac:dyDescent="0.25">
      <c r="F459"/>
    </row>
    <row r="460" spans="6:6" x14ac:dyDescent="0.25">
      <c r="F460"/>
    </row>
    <row r="461" spans="6:6" x14ac:dyDescent="0.25">
      <c r="F461"/>
    </row>
    <row r="462" spans="6:6" x14ac:dyDescent="0.25">
      <c r="F462"/>
    </row>
    <row r="463" spans="6:6" x14ac:dyDescent="0.25">
      <c r="F463"/>
    </row>
    <row r="464" spans="6:6" x14ac:dyDescent="0.25">
      <c r="F464"/>
    </row>
    <row r="465" spans="6:6" x14ac:dyDescent="0.25">
      <c r="F465"/>
    </row>
    <row r="466" spans="6:6" x14ac:dyDescent="0.25">
      <c r="F466"/>
    </row>
    <row r="467" spans="6:6" x14ac:dyDescent="0.25">
      <c r="F467"/>
    </row>
    <row r="468" spans="6:6" x14ac:dyDescent="0.25">
      <c r="F468"/>
    </row>
    <row r="469" spans="6:6" x14ac:dyDescent="0.25">
      <c r="F469"/>
    </row>
    <row r="470" spans="6:6" x14ac:dyDescent="0.25">
      <c r="F470"/>
    </row>
    <row r="471" spans="6:6" x14ac:dyDescent="0.25">
      <c r="F471"/>
    </row>
    <row r="472" spans="6:6" x14ac:dyDescent="0.25">
      <c r="F472"/>
    </row>
    <row r="473" spans="6:6" x14ac:dyDescent="0.25">
      <c r="F473"/>
    </row>
    <row r="474" spans="6:6" x14ac:dyDescent="0.25">
      <c r="F474"/>
    </row>
    <row r="475" spans="6:6" x14ac:dyDescent="0.25">
      <c r="F475"/>
    </row>
    <row r="476" spans="6:6" x14ac:dyDescent="0.25">
      <c r="F476"/>
    </row>
    <row r="477" spans="6:6" x14ac:dyDescent="0.25">
      <c r="F477"/>
    </row>
    <row r="478" spans="6:6" x14ac:dyDescent="0.25">
      <c r="F478"/>
    </row>
    <row r="479" spans="6:6" x14ac:dyDescent="0.25">
      <c r="F479"/>
    </row>
    <row r="480" spans="6:6" x14ac:dyDescent="0.25">
      <c r="F480"/>
    </row>
    <row r="481" spans="6:6" x14ac:dyDescent="0.25">
      <c r="F481"/>
    </row>
    <row r="482" spans="6:6" x14ac:dyDescent="0.25">
      <c r="F482"/>
    </row>
    <row r="483" spans="6:6" x14ac:dyDescent="0.25">
      <c r="F483"/>
    </row>
    <row r="484" spans="6:6" x14ac:dyDescent="0.25">
      <c r="F484"/>
    </row>
    <row r="485" spans="6:6" x14ac:dyDescent="0.25">
      <c r="F485"/>
    </row>
    <row r="486" spans="6:6" x14ac:dyDescent="0.25">
      <c r="F486"/>
    </row>
    <row r="487" spans="6:6" x14ac:dyDescent="0.25">
      <c r="F487"/>
    </row>
    <row r="488" spans="6:6" x14ac:dyDescent="0.25">
      <c r="F488"/>
    </row>
    <row r="489" spans="6:6" x14ac:dyDescent="0.25">
      <c r="F489"/>
    </row>
    <row r="490" spans="6:6" x14ac:dyDescent="0.25">
      <c r="F490"/>
    </row>
    <row r="491" spans="6:6" x14ac:dyDescent="0.25">
      <c r="F491"/>
    </row>
    <row r="492" spans="6:6" x14ac:dyDescent="0.25">
      <c r="F492"/>
    </row>
    <row r="493" spans="6:6" x14ac:dyDescent="0.25">
      <c r="F493"/>
    </row>
    <row r="494" spans="6:6" x14ac:dyDescent="0.25">
      <c r="F494"/>
    </row>
    <row r="495" spans="6:6" x14ac:dyDescent="0.25">
      <c r="F495"/>
    </row>
    <row r="496" spans="6:6" x14ac:dyDescent="0.25">
      <c r="F496"/>
    </row>
    <row r="497" spans="6:6" x14ac:dyDescent="0.25">
      <c r="F497"/>
    </row>
    <row r="498" spans="6:6" x14ac:dyDescent="0.25">
      <c r="F498"/>
    </row>
    <row r="499" spans="6:6" x14ac:dyDescent="0.25">
      <c r="F499"/>
    </row>
    <row r="500" spans="6:6" x14ac:dyDescent="0.25">
      <c r="F500"/>
    </row>
    <row r="501" spans="6:6" x14ac:dyDescent="0.25">
      <c r="F501"/>
    </row>
    <row r="502" spans="6:6" x14ac:dyDescent="0.25">
      <c r="F502"/>
    </row>
    <row r="503" spans="6:6" x14ac:dyDescent="0.25">
      <c r="F503"/>
    </row>
    <row r="504" spans="6:6" x14ac:dyDescent="0.25">
      <c r="F504"/>
    </row>
    <row r="505" spans="6:6" x14ac:dyDescent="0.25">
      <c r="F505"/>
    </row>
    <row r="506" spans="6:6" x14ac:dyDescent="0.25">
      <c r="F506"/>
    </row>
    <row r="507" spans="6:6" x14ac:dyDescent="0.25">
      <c r="F507"/>
    </row>
    <row r="508" spans="6:6" x14ac:dyDescent="0.25">
      <c r="F508"/>
    </row>
    <row r="509" spans="6:6" x14ac:dyDescent="0.25">
      <c r="F509"/>
    </row>
    <row r="510" spans="6:6" x14ac:dyDescent="0.25">
      <c r="F510"/>
    </row>
    <row r="511" spans="6:6" x14ac:dyDescent="0.25">
      <c r="F511"/>
    </row>
    <row r="512" spans="6:6" x14ac:dyDescent="0.25">
      <c r="F512"/>
    </row>
    <row r="513" spans="6:6" x14ac:dyDescent="0.25">
      <c r="F513"/>
    </row>
    <row r="514" spans="6:6" x14ac:dyDescent="0.25">
      <c r="F514"/>
    </row>
    <row r="515" spans="6:6" x14ac:dyDescent="0.25">
      <c r="F515"/>
    </row>
    <row r="516" spans="6:6" x14ac:dyDescent="0.25">
      <c r="F516"/>
    </row>
    <row r="517" spans="6:6" x14ac:dyDescent="0.25">
      <c r="F517"/>
    </row>
    <row r="518" spans="6:6" x14ac:dyDescent="0.25">
      <c r="F518"/>
    </row>
    <row r="519" spans="6:6" x14ac:dyDescent="0.25">
      <c r="F519"/>
    </row>
    <row r="520" spans="6:6" x14ac:dyDescent="0.25">
      <c r="F520"/>
    </row>
    <row r="521" spans="6:6" x14ac:dyDescent="0.25">
      <c r="F521"/>
    </row>
    <row r="522" spans="6:6" x14ac:dyDescent="0.25">
      <c r="F522"/>
    </row>
    <row r="523" spans="6:6" x14ac:dyDescent="0.25">
      <c r="F523"/>
    </row>
    <row r="524" spans="6:6" x14ac:dyDescent="0.25">
      <c r="F524"/>
    </row>
    <row r="525" spans="6:6" x14ac:dyDescent="0.25">
      <c r="F525"/>
    </row>
    <row r="526" spans="6:6" x14ac:dyDescent="0.25">
      <c r="F526"/>
    </row>
    <row r="527" spans="6:6" x14ac:dyDescent="0.25">
      <c r="F527"/>
    </row>
    <row r="528" spans="6:6" x14ac:dyDescent="0.25">
      <c r="F528"/>
    </row>
    <row r="529" spans="6:6" x14ac:dyDescent="0.25">
      <c r="F529"/>
    </row>
    <row r="530" spans="6:6" x14ac:dyDescent="0.25">
      <c r="F530"/>
    </row>
    <row r="531" spans="6:6" x14ac:dyDescent="0.25">
      <c r="F531"/>
    </row>
    <row r="532" spans="6:6" x14ac:dyDescent="0.25">
      <c r="F532"/>
    </row>
    <row r="533" spans="6:6" x14ac:dyDescent="0.25">
      <c r="F533"/>
    </row>
    <row r="534" spans="6:6" x14ac:dyDescent="0.25">
      <c r="F534"/>
    </row>
    <row r="535" spans="6:6" x14ac:dyDescent="0.25">
      <c r="F535"/>
    </row>
    <row r="536" spans="6:6" x14ac:dyDescent="0.25">
      <c r="F536"/>
    </row>
    <row r="537" spans="6:6" x14ac:dyDescent="0.25">
      <c r="F537"/>
    </row>
    <row r="538" spans="6:6" x14ac:dyDescent="0.25">
      <c r="F538"/>
    </row>
    <row r="539" spans="6:6" x14ac:dyDescent="0.25">
      <c r="F539"/>
    </row>
    <row r="540" spans="6:6" x14ac:dyDescent="0.25">
      <c r="F540"/>
    </row>
    <row r="541" spans="6:6" x14ac:dyDescent="0.25">
      <c r="F541"/>
    </row>
    <row r="542" spans="6:6" x14ac:dyDescent="0.25">
      <c r="F542"/>
    </row>
    <row r="543" spans="6:6" x14ac:dyDescent="0.25">
      <c r="F543"/>
    </row>
    <row r="544" spans="6:6" x14ac:dyDescent="0.25">
      <c r="F544"/>
    </row>
    <row r="545" spans="6:6" x14ac:dyDescent="0.25">
      <c r="F545"/>
    </row>
    <row r="546" spans="6:6" x14ac:dyDescent="0.25">
      <c r="F546"/>
    </row>
    <row r="547" spans="6:6" x14ac:dyDescent="0.25">
      <c r="F547"/>
    </row>
    <row r="548" spans="6:6" x14ac:dyDescent="0.25">
      <c r="F548"/>
    </row>
    <row r="549" spans="6:6" x14ac:dyDescent="0.25">
      <c r="F549"/>
    </row>
    <row r="550" spans="6:6" x14ac:dyDescent="0.25">
      <c r="F550"/>
    </row>
    <row r="551" spans="6:6" x14ac:dyDescent="0.25">
      <c r="F551"/>
    </row>
    <row r="552" spans="6:6" x14ac:dyDescent="0.25">
      <c r="F552"/>
    </row>
    <row r="553" spans="6:6" x14ac:dyDescent="0.25">
      <c r="F553"/>
    </row>
    <row r="554" spans="6:6" x14ac:dyDescent="0.25">
      <c r="F554"/>
    </row>
    <row r="555" spans="6:6" x14ac:dyDescent="0.25">
      <c r="F555"/>
    </row>
    <row r="556" spans="6:6" x14ac:dyDescent="0.25">
      <c r="F556"/>
    </row>
    <row r="557" spans="6:6" x14ac:dyDescent="0.25">
      <c r="F557"/>
    </row>
    <row r="558" spans="6:6" x14ac:dyDescent="0.25">
      <c r="F558"/>
    </row>
    <row r="559" spans="6:6" x14ac:dyDescent="0.25">
      <c r="F559"/>
    </row>
    <row r="560" spans="6:6" x14ac:dyDescent="0.25">
      <c r="F560"/>
    </row>
    <row r="561" spans="6:6" x14ac:dyDescent="0.25">
      <c r="F561"/>
    </row>
    <row r="562" spans="6:6" x14ac:dyDescent="0.25">
      <c r="F562"/>
    </row>
    <row r="563" spans="6:6" x14ac:dyDescent="0.25">
      <c r="F563"/>
    </row>
    <row r="564" spans="6:6" x14ac:dyDescent="0.25">
      <c r="F564"/>
    </row>
    <row r="565" spans="6:6" x14ac:dyDescent="0.25">
      <c r="F565"/>
    </row>
    <row r="566" spans="6:6" x14ac:dyDescent="0.25">
      <c r="F566"/>
    </row>
    <row r="567" spans="6:6" x14ac:dyDescent="0.25">
      <c r="F567"/>
    </row>
    <row r="568" spans="6:6" x14ac:dyDescent="0.25">
      <c r="F568"/>
    </row>
    <row r="569" spans="6:6" x14ac:dyDescent="0.25">
      <c r="F569"/>
    </row>
    <row r="570" spans="6:6" x14ac:dyDescent="0.25">
      <c r="F570"/>
    </row>
    <row r="571" spans="6:6" x14ac:dyDescent="0.25">
      <c r="F571"/>
    </row>
    <row r="572" spans="6:6" x14ac:dyDescent="0.25">
      <c r="F572"/>
    </row>
    <row r="573" spans="6:6" x14ac:dyDescent="0.25">
      <c r="F573"/>
    </row>
    <row r="574" spans="6:6" x14ac:dyDescent="0.25">
      <c r="F574"/>
    </row>
    <row r="575" spans="6:6" x14ac:dyDescent="0.25">
      <c r="F575"/>
    </row>
    <row r="576" spans="6:6" x14ac:dyDescent="0.25">
      <c r="F576"/>
    </row>
    <row r="577" spans="6:6" x14ac:dyDescent="0.25">
      <c r="F577"/>
    </row>
    <row r="578" spans="6:6" x14ac:dyDescent="0.25">
      <c r="F578"/>
    </row>
    <row r="579" spans="6:6" x14ac:dyDescent="0.25">
      <c r="F579"/>
    </row>
    <row r="580" spans="6:6" x14ac:dyDescent="0.25">
      <c r="F580"/>
    </row>
    <row r="581" spans="6:6" x14ac:dyDescent="0.25">
      <c r="F581"/>
    </row>
    <row r="582" spans="6:6" x14ac:dyDescent="0.25">
      <c r="F582"/>
    </row>
    <row r="583" spans="6:6" x14ac:dyDescent="0.25">
      <c r="F583"/>
    </row>
    <row r="584" spans="6:6" x14ac:dyDescent="0.25">
      <c r="F584"/>
    </row>
    <row r="585" spans="6:6" x14ac:dyDescent="0.25">
      <c r="F585"/>
    </row>
    <row r="586" spans="6:6" x14ac:dyDescent="0.25">
      <c r="F586"/>
    </row>
    <row r="587" spans="6:6" x14ac:dyDescent="0.25">
      <c r="F587"/>
    </row>
    <row r="588" spans="6:6" x14ac:dyDescent="0.25">
      <c r="F588"/>
    </row>
    <row r="589" spans="6:6" x14ac:dyDescent="0.25">
      <c r="F589"/>
    </row>
    <row r="590" spans="6:6" x14ac:dyDescent="0.25">
      <c r="F590"/>
    </row>
    <row r="591" spans="6:6" x14ac:dyDescent="0.25">
      <c r="F591"/>
    </row>
    <row r="592" spans="6:6" x14ac:dyDescent="0.25">
      <c r="F592"/>
    </row>
    <row r="593" spans="6:6" x14ac:dyDescent="0.25">
      <c r="F593"/>
    </row>
    <row r="594" spans="6:6" x14ac:dyDescent="0.25">
      <c r="F594"/>
    </row>
    <row r="595" spans="6:6" x14ac:dyDescent="0.25">
      <c r="F595"/>
    </row>
    <row r="596" spans="6:6" x14ac:dyDescent="0.25">
      <c r="F596"/>
    </row>
    <row r="597" spans="6:6" x14ac:dyDescent="0.25">
      <c r="F597"/>
    </row>
    <row r="598" spans="6:6" x14ac:dyDescent="0.25">
      <c r="F598"/>
    </row>
    <row r="599" spans="6:6" x14ac:dyDescent="0.25">
      <c r="F599"/>
    </row>
    <row r="600" spans="6:6" x14ac:dyDescent="0.25">
      <c r="F600"/>
    </row>
    <row r="601" spans="6:6" x14ac:dyDescent="0.25">
      <c r="F601"/>
    </row>
    <row r="602" spans="6:6" x14ac:dyDescent="0.25">
      <c r="F602"/>
    </row>
    <row r="603" spans="6:6" x14ac:dyDescent="0.25">
      <c r="F603"/>
    </row>
    <row r="604" spans="6:6" x14ac:dyDescent="0.25">
      <c r="F604"/>
    </row>
    <row r="605" spans="6:6" x14ac:dyDescent="0.25">
      <c r="F605"/>
    </row>
    <row r="606" spans="6:6" x14ac:dyDescent="0.25">
      <c r="F606"/>
    </row>
    <row r="607" spans="6:6" x14ac:dyDescent="0.25">
      <c r="F607"/>
    </row>
    <row r="608" spans="6:6" x14ac:dyDescent="0.25">
      <c r="F608"/>
    </row>
    <row r="609" spans="6:6" x14ac:dyDescent="0.25">
      <c r="F609"/>
    </row>
    <row r="610" spans="6:6" x14ac:dyDescent="0.25">
      <c r="F610"/>
    </row>
    <row r="611" spans="6:6" x14ac:dyDescent="0.25">
      <c r="F611"/>
    </row>
    <row r="612" spans="6:6" x14ac:dyDescent="0.25">
      <c r="F612"/>
    </row>
    <row r="613" spans="6:6" x14ac:dyDescent="0.25">
      <c r="F613"/>
    </row>
    <row r="614" spans="6:6" x14ac:dyDescent="0.25">
      <c r="F614"/>
    </row>
    <row r="615" spans="6:6" x14ac:dyDescent="0.25">
      <c r="F615"/>
    </row>
    <row r="616" spans="6:6" x14ac:dyDescent="0.25">
      <c r="F616"/>
    </row>
    <row r="617" spans="6:6" x14ac:dyDescent="0.25">
      <c r="F617"/>
    </row>
    <row r="618" spans="6:6" x14ac:dyDescent="0.25">
      <c r="F618"/>
    </row>
    <row r="619" spans="6:6" x14ac:dyDescent="0.25">
      <c r="F619"/>
    </row>
    <row r="620" spans="6:6" x14ac:dyDescent="0.25">
      <c r="F620"/>
    </row>
    <row r="621" spans="6:6" x14ac:dyDescent="0.25">
      <c r="F621"/>
    </row>
    <row r="622" spans="6:6" x14ac:dyDescent="0.25">
      <c r="F622"/>
    </row>
    <row r="623" spans="6:6" x14ac:dyDescent="0.25">
      <c r="F623"/>
    </row>
    <row r="624" spans="6:6" x14ac:dyDescent="0.25">
      <c r="F624"/>
    </row>
    <row r="625" spans="6:6" x14ac:dyDescent="0.25">
      <c r="F625"/>
    </row>
    <row r="626" spans="6:6" x14ac:dyDescent="0.25">
      <c r="F626"/>
    </row>
    <row r="627" spans="6:6" x14ac:dyDescent="0.25">
      <c r="F627"/>
    </row>
    <row r="628" spans="6:6" x14ac:dyDescent="0.25">
      <c r="F628"/>
    </row>
    <row r="629" spans="6:6" x14ac:dyDescent="0.25">
      <c r="F629"/>
    </row>
    <row r="630" spans="6:6" x14ac:dyDescent="0.25">
      <c r="F630"/>
    </row>
    <row r="631" spans="6:6" x14ac:dyDescent="0.25">
      <c r="F631"/>
    </row>
    <row r="632" spans="6:6" x14ac:dyDescent="0.25">
      <c r="F632"/>
    </row>
    <row r="633" spans="6:6" x14ac:dyDescent="0.25">
      <c r="F633"/>
    </row>
    <row r="634" spans="6:6" x14ac:dyDescent="0.25">
      <c r="F634"/>
    </row>
    <row r="635" spans="6:6" x14ac:dyDescent="0.25">
      <c r="F635"/>
    </row>
    <row r="636" spans="6:6" x14ac:dyDescent="0.25">
      <c r="F636"/>
    </row>
    <row r="637" spans="6:6" x14ac:dyDescent="0.25">
      <c r="F637"/>
    </row>
    <row r="638" spans="6:6" x14ac:dyDescent="0.25">
      <c r="F638"/>
    </row>
    <row r="639" spans="6:6" x14ac:dyDescent="0.25">
      <c r="F639"/>
    </row>
    <row r="640" spans="6:6" x14ac:dyDescent="0.25">
      <c r="F640"/>
    </row>
    <row r="641" spans="6:6" x14ac:dyDescent="0.25">
      <c r="F641"/>
    </row>
    <row r="642" spans="6:6" x14ac:dyDescent="0.25">
      <c r="F642"/>
    </row>
    <row r="643" spans="6:6" x14ac:dyDescent="0.25">
      <c r="F643"/>
    </row>
    <row r="644" spans="6:6" x14ac:dyDescent="0.25">
      <c r="F644"/>
    </row>
    <row r="645" spans="6:6" x14ac:dyDescent="0.25">
      <c r="F645"/>
    </row>
    <row r="646" spans="6:6" x14ac:dyDescent="0.25">
      <c r="F646"/>
    </row>
    <row r="647" spans="6:6" x14ac:dyDescent="0.25">
      <c r="F647"/>
    </row>
    <row r="648" spans="6:6" x14ac:dyDescent="0.25">
      <c r="F648"/>
    </row>
    <row r="649" spans="6:6" x14ac:dyDescent="0.25">
      <c r="F649"/>
    </row>
    <row r="650" spans="6:6" x14ac:dyDescent="0.25">
      <c r="F650"/>
    </row>
    <row r="651" spans="6:6" x14ac:dyDescent="0.25">
      <c r="F651"/>
    </row>
    <row r="652" spans="6:6" x14ac:dyDescent="0.25">
      <c r="F652"/>
    </row>
    <row r="653" spans="6:6" x14ac:dyDescent="0.25">
      <c r="F653"/>
    </row>
    <row r="654" spans="6:6" x14ac:dyDescent="0.25">
      <c r="F654"/>
    </row>
    <row r="655" spans="6:6" x14ac:dyDescent="0.25">
      <c r="F655"/>
    </row>
    <row r="656" spans="6:6" x14ac:dyDescent="0.25">
      <c r="F656"/>
    </row>
    <row r="657" spans="6:6" x14ac:dyDescent="0.25">
      <c r="F657"/>
    </row>
    <row r="658" spans="6:6" x14ac:dyDescent="0.25">
      <c r="F658"/>
    </row>
    <row r="659" spans="6:6" x14ac:dyDescent="0.25">
      <c r="F659"/>
    </row>
    <row r="660" spans="6:6" x14ac:dyDescent="0.25">
      <c r="F660"/>
    </row>
    <row r="661" spans="6:6" x14ac:dyDescent="0.25">
      <c r="F661"/>
    </row>
    <row r="662" spans="6:6" x14ac:dyDescent="0.25">
      <c r="F662"/>
    </row>
    <row r="663" spans="6:6" x14ac:dyDescent="0.25">
      <c r="F663"/>
    </row>
    <row r="664" spans="6:6" x14ac:dyDescent="0.25">
      <c r="F664"/>
    </row>
    <row r="665" spans="6:6" x14ac:dyDescent="0.25">
      <c r="F665"/>
    </row>
    <row r="666" spans="6:6" x14ac:dyDescent="0.25">
      <c r="F666"/>
    </row>
    <row r="667" spans="6:6" x14ac:dyDescent="0.25">
      <c r="F667"/>
    </row>
    <row r="668" spans="6:6" x14ac:dyDescent="0.25">
      <c r="F668"/>
    </row>
    <row r="669" spans="6:6" x14ac:dyDescent="0.25">
      <c r="F669"/>
    </row>
    <row r="670" spans="6:6" x14ac:dyDescent="0.25">
      <c r="F670"/>
    </row>
    <row r="671" spans="6:6" x14ac:dyDescent="0.25">
      <c r="F671"/>
    </row>
    <row r="672" spans="6:6" x14ac:dyDescent="0.25">
      <c r="F672"/>
    </row>
    <row r="673" spans="6:6" x14ac:dyDescent="0.25">
      <c r="F673"/>
    </row>
    <row r="674" spans="6:6" x14ac:dyDescent="0.25">
      <c r="F674"/>
    </row>
    <row r="675" spans="6:6" x14ac:dyDescent="0.25">
      <c r="F675"/>
    </row>
    <row r="676" spans="6:6" x14ac:dyDescent="0.25">
      <c r="F676"/>
    </row>
    <row r="677" spans="6:6" x14ac:dyDescent="0.25">
      <c r="F677"/>
    </row>
    <row r="678" spans="6:6" x14ac:dyDescent="0.25">
      <c r="F678"/>
    </row>
    <row r="679" spans="6:6" x14ac:dyDescent="0.25">
      <c r="F679"/>
    </row>
    <row r="680" spans="6:6" x14ac:dyDescent="0.25">
      <c r="F680"/>
    </row>
    <row r="681" spans="6:6" x14ac:dyDescent="0.25">
      <c r="F681"/>
    </row>
    <row r="682" spans="6:6" x14ac:dyDescent="0.25">
      <c r="F682"/>
    </row>
    <row r="683" spans="6:6" x14ac:dyDescent="0.25">
      <c r="F683"/>
    </row>
    <row r="684" spans="6:6" x14ac:dyDescent="0.25">
      <c r="F684"/>
    </row>
    <row r="685" spans="6:6" x14ac:dyDescent="0.25">
      <c r="F685"/>
    </row>
    <row r="686" spans="6:6" x14ac:dyDescent="0.25">
      <c r="F686"/>
    </row>
    <row r="687" spans="6:6" x14ac:dyDescent="0.25">
      <c r="F687"/>
    </row>
    <row r="688" spans="6:6" x14ac:dyDescent="0.25">
      <c r="F688"/>
    </row>
    <row r="689" spans="6:6" x14ac:dyDescent="0.25">
      <c r="F689"/>
    </row>
    <row r="690" spans="6:6" x14ac:dyDescent="0.25">
      <c r="F690"/>
    </row>
    <row r="691" spans="6:6" x14ac:dyDescent="0.25">
      <c r="F691"/>
    </row>
    <row r="692" spans="6:6" x14ac:dyDescent="0.25">
      <c r="F692"/>
    </row>
    <row r="693" spans="6:6" x14ac:dyDescent="0.25">
      <c r="F693"/>
    </row>
    <row r="694" spans="6:6" x14ac:dyDescent="0.25">
      <c r="F694"/>
    </row>
    <row r="695" spans="6:6" x14ac:dyDescent="0.25">
      <c r="F695"/>
    </row>
    <row r="696" spans="6:6" x14ac:dyDescent="0.25">
      <c r="F696"/>
    </row>
    <row r="697" spans="6:6" x14ac:dyDescent="0.25">
      <c r="F697"/>
    </row>
    <row r="698" spans="6:6" x14ac:dyDescent="0.25">
      <c r="F698"/>
    </row>
    <row r="699" spans="6:6" x14ac:dyDescent="0.25">
      <c r="F699"/>
    </row>
    <row r="700" spans="6:6" x14ac:dyDescent="0.25">
      <c r="F700"/>
    </row>
    <row r="701" spans="6:6" x14ac:dyDescent="0.25">
      <c r="F701"/>
    </row>
    <row r="702" spans="6:6" x14ac:dyDescent="0.25">
      <c r="F702"/>
    </row>
    <row r="703" spans="6:6" x14ac:dyDescent="0.25">
      <c r="F703"/>
    </row>
    <row r="704" spans="6:6" x14ac:dyDescent="0.25">
      <c r="F704"/>
    </row>
    <row r="705" spans="6:6" x14ac:dyDescent="0.25">
      <c r="F705"/>
    </row>
    <row r="706" spans="6:6" x14ac:dyDescent="0.25">
      <c r="F706"/>
    </row>
    <row r="707" spans="6:6" x14ac:dyDescent="0.25">
      <c r="F707"/>
    </row>
    <row r="708" spans="6:6" x14ac:dyDescent="0.25">
      <c r="F708"/>
    </row>
    <row r="709" spans="6:6" x14ac:dyDescent="0.25">
      <c r="F709"/>
    </row>
    <row r="710" spans="6:6" x14ac:dyDescent="0.25">
      <c r="F710"/>
    </row>
    <row r="711" spans="6:6" x14ac:dyDescent="0.25">
      <c r="F711"/>
    </row>
    <row r="712" spans="6:6" x14ac:dyDescent="0.25">
      <c r="F712"/>
    </row>
    <row r="713" spans="6:6" x14ac:dyDescent="0.25">
      <c r="F713"/>
    </row>
    <row r="714" spans="6:6" x14ac:dyDescent="0.25">
      <c r="F714"/>
    </row>
    <row r="715" spans="6:6" x14ac:dyDescent="0.25">
      <c r="F715"/>
    </row>
    <row r="716" spans="6:6" x14ac:dyDescent="0.25">
      <c r="F716"/>
    </row>
    <row r="717" spans="6:6" x14ac:dyDescent="0.25">
      <c r="F717"/>
    </row>
    <row r="718" spans="6:6" x14ac:dyDescent="0.25">
      <c r="F718"/>
    </row>
    <row r="719" spans="6:6" x14ac:dyDescent="0.25">
      <c r="F719"/>
    </row>
    <row r="720" spans="6:6" x14ac:dyDescent="0.25">
      <c r="F720"/>
    </row>
    <row r="721" spans="6:6" x14ac:dyDescent="0.25">
      <c r="F721"/>
    </row>
    <row r="722" spans="6:6" x14ac:dyDescent="0.25">
      <c r="F722"/>
    </row>
    <row r="723" spans="6:6" x14ac:dyDescent="0.25">
      <c r="F723"/>
    </row>
    <row r="724" spans="6:6" x14ac:dyDescent="0.25">
      <c r="F724"/>
    </row>
    <row r="725" spans="6:6" x14ac:dyDescent="0.25">
      <c r="F725"/>
    </row>
    <row r="726" spans="6:6" x14ac:dyDescent="0.25">
      <c r="F726"/>
    </row>
    <row r="727" spans="6:6" x14ac:dyDescent="0.25">
      <c r="F727"/>
    </row>
    <row r="728" spans="6:6" x14ac:dyDescent="0.25">
      <c r="F728"/>
    </row>
    <row r="729" spans="6:6" x14ac:dyDescent="0.25">
      <c r="F729"/>
    </row>
    <row r="730" spans="6:6" x14ac:dyDescent="0.25">
      <c r="F730"/>
    </row>
    <row r="731" spans="6:6" x14ac:dyDescent="0.25">
      <c r="F731"/>
    </row>
    <row r="732" spans="6:6" x14ac:dyDescent="0.25">
      <c r="F732"/>
    </row>
    <row r="733" spans="6:6" x14ac:dyDescent="0.25">
      <c r="F733"/>
    </row>
    <row r="734" spans="6:6" x14ac:dyDescent="0.25">
      <c r="F734"/>
    </row>
    <row r="735" spans="6:6" x14ac:dyDescent="0.25">
      <c r="F735"/>
    </row>
    <row r="736" spans="6:6" x14ac:dyDescent="0.25">
      <c r="F736"/>
    </row>
    <row r="737" spans="6:6" x14ac:dyDescent="0.25">
      <c r="F737"/>
    </row>
    <row r="738" spans="6:6" x14ac:dyDescent="0.25">
      <c r="F738"/>
    </row>
    <row r="739" spans="6:6" x14ac:dyDescent="0.25">
      <c r="F739"/>
    </row>
    <row r="740" spans="6:6" x14ac:dyDescent="0.25">
      <c r="F740"/>
    </row>
    <row r="741" spans="6:6" x14ac:dyDescent="0.25">
      <c r="F741"/>
    </row>
    <row r="742" spans="6:6" x14ac:dyDescent="0.25">
      <c r="F742"/>
    </row>
    <row r="743" spans="6:6" x14ac:dyDescent="0.25">
      <c r="F743"/>
    </row>
    <row r="744" spans="6:6" x14ac:dyDescent="0.25">
      <c r="F744"/>
    </row>
    <row r="745" spans="6:6" x14ac:dyDescent="0.25">
      <c r="F745"/>
    </row>
    <row r="746" spans="6:6" x14ac:dyDescent="0.25">
      <c r="F746"/>
    </row>
    <row r="747" spans="6:6" x14ac:dyDescent="0.25">
      <c r="F747"/>
    </row>
    <row r="748" spans="6:6" x14ac:dyDescent="0.25">
      <c r="F748"/>
    </row>
    <row r="749" spans="6:6" x14ac:dyDescent="0.25">
      <c r="F749"/>
    </row>
    <row r="750" spans="6:6" x14ac:dyDescent="0.25">
      <c r="F750"/>
    </row>
    <row r="751" spans="6:6" x14ac:dyDescent="0.25">
      <c r="F751"/>
    </row>
    <row r="752" spans="6:6" x14ac:dyDescent="0.25">
      <c r="F752"/>
    </row>
    <row r="753" spans="6:6" x14ac:dyDescent="0.25">
      <c r="F753"/>
    </row>
    <row r="754" spans="6:6" x14ac:dyDescent="0.25">
      <c r="F754"/>
    </row>
    <row r="755" spans="6:6" x14ac:dyDescent="0.25">
      <c r="F755"/>
    </row>
    <row r="756" spans="6:6" x14ac:dyDescent="0.25">
      <c r="F756"/>
    </row>
    <row r="757" spans="6:6" x14ac:dyDescent="0.25">
      <c r="F757"/>
    </row>
    <row r="758" spans="6:6" x14ac:dyDescent="0.25">
      <c r="F758"/>
    </row>
    <row r="759" spans="6:6" x14ac:dyDescent="0.25">
      <c r="F759"/>
    </row>
    <row r="760" spans="6:6" x14ac:dyDescent="0.25">
      <c r="F760"/>
    </row>
    <row r="761" spans="6:6" x14ac:dyDescent="0.25">
      <c r="F761"/>
    </row>
    <row r="762" spans="6:6" x14ac:dyDescent="0.25">
      <c r="F762"/>
    </row>
    <row r="763" spans="6:6" x14ac:dyDescent="0.25">
      <c r="F763"/>
    </row>
    <row r="764" spans="6:6" x14ac:dyDescent="0.25">
      <c r="F764"/>
    </row>
    <row r="765" spans="6:6" x14ac:dyDescent="0.25">
      <c r="F765"/>
    </row>
    <row r="766" spans="6:6" x14ac:dyDescent="0.25">
      <c r="F766"/>
    </row>
    <row r="767" spans="6:6" x14ac:dyDescent="0.25">
      <c r="F767"/>
    </row>
    <row r="768" spans="6:6" x14ac:dyDescent="0.25">
      <c r="F768"/>
    </row>
    <row r="769" spans="6:6" x14ac:dyDescent="0.25">
      <c r="F769"/>
    </row>
    <row r="770" spans="6:6" x14ac:dyDescent="0.25">
      <c r="F770"/>
    </row>
    <row r="771" spans="6:6" x14ac:dyDescent="0.25">
      <c r="F771"/>
    </row>
    <row r="772" spans="6:6" x14ac:dyDescent="0.25">
      <c r="F772"/>
    </row>
    <row r="773" spans="6:6" x14ac:dyDescent="0.25">
      <c r="F773"/>
    </row>
    <row r="774" spans="6:6" x14ac:dyDescent="0.25">
      <c r="F774"/>
    </row>
    <row r="775" spans="6:6" x14ac:dyDescent="0.25">
      <c r="F775"/>
    </row>
    <row r="776" spans="6:6" x14ac:dyDescent="0.25">
      <c r="F776"/>
    </row>
    <row r="777" spans="6:6" x14ac:dyDescent="0.25">
      <c r="F777"/>
    </row>
    <row r="778" spans="6:6" x14ac:dyDescent="0.25">
      <c r="F778"/>
    </row>
    <row r="779" spans="6:6" x14ac:dyDescent="0.25">
      <c r="F779"/>
    </row>
    <row r="780" spans="6:6" x14ac:dyDescent="0.25">
      <c r="F780"/>
    </row>
    <row r="781" spans="6:6" x14ac:dyDescent="0.25">
      <c r="F781"/>
    </row>
    <row r="782" spans="6:6" x14ac:dyDescent="0.25">
      <c r="F782"/>
    </row>
    <row r="783" spans="6:6" x14ac:dyDescent="0.25">
      <c r="F783"/>
    </row>
    <row r="784" spans="6:6" x14ac:dyDescent="0.25">
      <c r="F784"/>
    </row>
    <row r="785" spans="6:6" x14ac:dyDescent="0.25">
      <c r="F785"/>
    </row>
    <row r="786" spans="6:6" x14ac:dyDescent="0.25">
      <c r="F786"/>
    </row>
    <row r="787" spans="6:6" x14ac:dyDescent="0.25">
      <c r="F787"/>
    </row>
    <row r="788" spans="6:6" x14ac:dyDescent="0.25">
      <c r="F788"/>
    </row>
    <row r="789" spans="6:6" x14ac:dyDescent="0.25">
      <c r="F789"/>
    </row>
    <row r="790" spans="6:6" x14ac:dyDescent="0.25">
      <c r="F790"/>
    </row>
    <row r="791" spans="6:6" x14ac:dyDescent="0.25">
      <c r="F791"/>
    </row>
    <row r="792" spans="6:6" x14ac:dyDescent="0.25">
      <c r="F792"/>
    </row>
    <row r="793" spans="6:6" x14ac:dyDescent="0.25">
      <c r="F793"/>
    </row>
    <row r="794" spans="6:6" x14ac:dyDescent="0.25">
      <c r="F794"/>
    </row>
    <row r="795" spans="6:6" x14ac:dyDescent="0.25">
      <c r="F795"/>
    </row>
    <row r="796" spans="6:6" x14ac:dyDescent="0.25">
      <c r="F796"/>
    </row>
    <row r="797" spans="6:6" x14ac:dyDescent="0.25">
      <c r="F797"/>
    </row>
    <row r="798" spans="6:6" x14ac:dyDescent="0.25">
      <c r="F798"/>
    </row>
    <row r="799" spans="6:6" x14ac:dyDescent="0.25">
      <c r="F799"/>
    </row>
    <row r="800" spans="6:6" x14ac:dyDescent="0.25">
      <c r="F800"/>
    </row>
    <row r="801" spans="6:6" x14ac:dyDescent="0.25">
      <c r="F801"/>
    </row>
    <row r="802" spans="6:6" x14ac:dyDescent="0.25">
      <c r="F802"/>
    </row>
    <row r="803" spans="6:6" x14ac:dyDescent="0.25">
      <c r="F803"/>
    </row>
    <row r="804" spans="6:6" x14ac:dyDescent="0.25">
      <c r="F804"/>
    </row>
    <row r="805" spans="6:6" x14ac:dyDescent="0.25">
      <c r="F805"/>
    </row>
    <row r="806" spans="6:6" x14ac:dyDescent="0.25">
      <c r="F806"/>
    </row>
    <row r="807" spans="6:6" x14ac:dyDescent="0.25">
      <c r="F807"/>
    </row>
    <row r="808" spans="6:6" x14ac:dyDescent="0.25">
      <c r="F808"/>
    </row>
    <row r="809" spans="6:6" x14ac:dyDescent="0.25">
      <c r="F809"/>
    </row>
    <row r="810" spans="6:6" x14ac:dyDescent="0.25">
      <c r="F810"/>
    </row>
    <row r="811" spans="6:6" x14ac:dyDescent="0.25">
      <c r="F811"/>
    </row>
    <row r="812" spans="6:6" x14ac:dyDescent="0.25">
      <c r="F812"/>
    </row>
    <row r="813" spans="6:6" x14ac:dyDescent="0.25">
      <c r="F813"/>
    </row>
    <row r="814" spans="6:6" x14ac:dyDescent="0.25">
      <c r="F814"/>
    </row>
    <row r="815" spans="6:6" x14ac:dyDescent="0.25">
      <c r="F815"/>
    </row>
    <row r="816" spans="6:6" x14ac:dyDescent="0.25">
      <c r="F816"/>
    </row>
    <row r="817" spans="6:6" x14ac:dyDescent="0.25">
      <c r="F817"/>
    </row>
    <row r="818" spans="6:6" x14ac:dyDescent="0.25">
      <c r="F818"/>
    </row>
    <row r="819" spans="6:6" x14ac:dyDescent="0.25">
      <c r="F819"/>
    </row>
    <row r="820" spans="6:6" x14ac:dyDescent="0.25">
      <c r="F820"/>
    </row>
    <row r="821" spans="6:6" x14ac:dyDescent="0.25">
      <c r="F821"/>
    </row>
    <row r="822" spans="6:6" x14ac:dyDescent="0.25">
      <c r="F822"/>
    </row>
    <row r="823" spans="6:6" x14ac:dyDescent="0.25">
      <c r="F823"/>
    </row>
    <row r="824" spans="6:6" x14ac:dyDescent="0.25">
      <c r="F824"/>
    </row>
    <row r="825" spans="6:6" x14ac:dyDescent="0.25">
      <c r="F825"/>
    </row>
    <row r="826" spans="6:6" x14ac:dyDescent="0.25">
      <c r="F826"/>
    </row>
    <row r="827" spans="6:6" x14ac:dyDescent="0.25">
      <c r="F827"/>
    </row>
    <row r="828" spans="6:6" x14ac:dyDescent="0.25">
      <c r="F828"/>
    </row>
    <row r="829" spans="6:6" x14ac:dyDescent="0.25">
      <c r="F829"/>
    </row>
    <row r="830" spans="6:6" x14ac:dyDescent="0.25">
      <c r="F830"/>
    </row>
    <row r="831" spans="6:6" x14ac:dyDescent="0.25">
      <c r="F831"/>
    </row>
    <row r="832" spans="6:6" x14ac:dyDescent="0.25">
      <c r="F832"/>
    </row>
    <row r="833" spans="6:6" x14ac:dyDescent="0.25">
      <c r="F833"/>
    </row>
    <row r="834" spans="6:6" x14ac:dyDescent="0.25">
      <c r="F834"/>
    </row>
    <row r="835" spans="6:6" x14ac:dyDescent="0.25">
      <c r="F835"/>
    </row>
    <row r="836" spans="6:6" x14ac:dyDescent="0.25">
      <c r="F836"/>
    </row>
    <row r="837" spans="6:6" x14ac:dyDescent="0.25">
      <c r="F837"/>
    </row>
    <row r="838" spans="6:6" x14ac:dyDescent="0.25">
      <c r="F838"/>
    </row>
    <row r="839" spans="6:6" x14ac:dyDescent="0.25">
      <c r="F839"/>
    </row>
    <row r="840" spans="6:6" x14ac:dyDescent="0.25">
      <c r="F840"/>
    </row>
    <row r="841" spans="6:6" x14ac:dyDescent="0.25">
      <c r="F841"/>
    </row>
    <row r="842" spans="6:6" x14ac:dyDescent="0.25">
      <c r="F842"/>
    </row>
    <row r="843" spans="6:6" x14ac:dyDescent="0.25">
      <c r="F843"/>
    </row>
    <row r="844" spans="6:6" x14ac:dyDescent="0.25">
      <c r="F844"/>
    </row>
    <row r="845" spans="6:6" x14ac:dyDescent="0.25">
      <c r="F845"/>
    </row>
    <row r="846" spans="6:6" x14ac:dyDescent="0.25">
      <c r="F846"/>
    </row>
    <row r="847" spans="6:6" x14ac:dyDescent="0.25">
      <c r="F847"/>
    </row>
    <row r="848" spans="6:6" x14ac:dyDescent="0.25">
      <c r="F848"/>
    </row>
    <row r="849" spans="6:6" x14ac:dyDescent="0.25">
      <c r="F849"/>
    </row>
    <row r="850" spans="6:6" x14ac:dyDescent="0.25">
      <c r="F850"/>
    </row>
    <row r="851" spans="6:6" x14ac:dyDescent="0.25">
      <c r="F851"/>
    </row>
    <row r="852" spans="6:6" x14ac:dyDescent="0.25">
      <c r="F852"/>
    </row>
    <row r="853" spans="6:6" x14ac:dyDescent="0.25">
      <c r="F853"/>
    </row>
    <row r="854" spans="6:6" x14ac:dyDescent="0.25">
      <c r="F854"/>
    </row>
    <row r="855" spans="6:6" x14ac:dyDescent="0.25">
      <c r="F855"/>
    </row>
    <row r="856" spans="6:6" x14ac:dyDescent="0.25">
      <c r="F856"/>
    </row>
    <row r="857" spans="6:6" x14ac:dyDescent="0.25">
      <c r="F857"/>
    </row>
    <row r="858" spans="6:6" x14ac:dyDescent="0.25">
      <c r="F858"/>
    </row>
    <row r="859" spans="6:6" x14ac:dyDescent="0.25">
      <c r="F859"/>
    </row>
    <row r="860" spans="6:6" x14ac:dyDescent="0.25">
      <c r="F860"/>
    </row>
    <row r="861" spans="6:6" x14ac:dyDescent="0.25">
      <c r="F861"/>
    </row>
    <row r="862" spans="6:6" x14ac:dyDescent="0.25">
      <c r="F862"/>
    </row>
    <row r="863" spans="6:6" x14ac:dyDescent="0.25">
      <c r="F863"/>
    </row>
    <row r="864" spans="6:6" x14ac:dyDescent="0.25">
      <c r="F864"/>
    </row>
    <row r="865" spans="6:6" x14ac:dyDescent="0.25">
      <c r="F865"/>
    </row>
    <row r="866" spans="6:6" x14ac:dyDescent="0.25">
      <c r="F866"/>
    </row>
    <row r="867" spans="6:6" x14ac:dyDescent="0.25">
      <c r="F867"/>
    </row>
    <row r="868" spans="6:6" x14ac:dyDescent="0.25">
      <c r="F868"/>
    </row>
    <row r="869" spans="6:6" x14ac:dyDescent="0.25">
      <c r="F869"/>
    </row>
    <row r="870" spans="6:6" x14ac:dyDescent="0.25">
      <c r="F870"/>
    </row>
    <row r="871" spans="6:6" x14ac:dyDescent="0.25">
      <c r="F871"/>
    </row>
    <row r="872" spans="6:6" x14ac:dyDescent="0.25">
      <c r="F872"/>
    </row>
    <row r="873" spans="6:6" x14ac:dyDescent="0.25">
      <c r="F873"/>
    </row>
    <row r="874" spans="6:6" x14ac:dyDescent="0.25">
      <c r="F874"/>
    </row>
    <row r="875" spans="6:6" x14ac:dyDescent="0.25">
      <c r="F875"/>
    </row>
    <row r="876" spans="6:6" x14ac:dyDescent="0.25">
      <c r="F876"/>
    </row>
    <row r="877" spans="6:6" x14ac:dyDescent="0.25">
      <c r="F877"/>
    </row>
    <row r="878" spans="6:6" x14ac:dyDescent="0.25">
      <c r="F878"/>
    </row>
    <row r="879" spans="6:6" x14ac:dyDescent="0.25">
      <c r="F879"/>
    </row>
    <row r="880" spans="6:6" x14ac:dyDescent="0.25">
      <c r="F880"/>
    </row>
    <row r="881" spans="6:6" x14ac:dyDescent="0.25">
      <c r="F881"/>
    </row>
    <row r="882" spans="6:6" x14ac:dyDescent="0.25">
      <c r="F882"/>
    </row>
    <row r="883" spans="6:6" x14ac:dyDescent="0.25">
      <c r="F883"/>
    </row>
    <row r="884" spans="6:6" x14ac:dyDescent="0.25">
      <c r="F884"/>
    </row>
    <row r="885" spans="6:6" x14ac:dyDescent="0.25">
      <c r="F885"/>
    </row>
    <row r="886" spans="6:6" x14ac:dyDescent="0.25">
      <c r="F886"/>
    </row>
    <row r="887" spans="6:6" x14ac:dyDescent="0.25">
      <c r="F887"/>
    </row>
    <row r="888" spans="6:6" x14ac:dyDescent="0.25">
      <c r="F888"/>
    </row>
    <row r="889" spans="6:6" x14ac:dyDescent="0.25">
      <c r="F889"/>
    </row>
    <row r="890" spans="6:6" x14ac:dyDescent="0.25">
      <c r="F890"/>
    </row>
    <row r="891" spans="6:6" x14ac:dyDescent="0.25">
      <c r="F891"/>
    </row>
    <row r="892" spans="6:6" x14ac:dyDescent="0.25">
      <c r="F892"/>
    </row>
    <row r="893" spans="6:6" x14ac:dyDescent="0.25">
      <c r="F893"/>
    </row>
    <row r="894" spans="6:6" x14ac:dyDescent="0.25">
      <c r="F894"/>
    </row>
    <row r="895" spans="6:6" x14ac:dyDescent="0.25">
      <c r="F895"/>
    </row>
    <row r="896" spans="6:6" x14ac:dyDescent="0.25">
      <c r="F896"/>
    </row>
    <row r="897" spans="6:6" x14ac:dyDescent="0.25">
      <c r="F897"/>
    </row>
    <row r="898" spans="6:6" x14ac:dyDescent="0.25">
      <c r="F898"/>
    </row>
    <row r="899" spans="6:6" x14ac:dyDescent="0.25">
      <c r="F899"/>
    </row>
    <row r="900" spans="6:6" x14ac:dyDescent="0.25">
      <c r="F900"/>
    </row>
    <row r="901" spans="6:6" x14ac:dyDescent="0.25">
      <c r="F901"/>
    </row>
    <row r="902" spans="6:6" x14ac:dyDescent="0.25">
      <c r="F902"/>
    </row>
    <row r="903" spans="6:6" x14ac:dyDescent="0.25">
      <c r="F903"/>
    </row>
    <row r="904" spans="6:6" x14ac:dyDescent="0.25">
      <c r="F904"/>
    </row>
    <row r="905" spans="6:6" x14ac:dyDescent="0.25">
      <c r="F905"/>
    </row>
    <row r="906" spans="6:6" x14ac:dyDescent="0.25">
      <c r="F906"/>
    </row>
    <row r="907" spans="6:6" x14ac:dyDescent="0.25">
      <c r="F907"/>
    </row>
    <row r="908" spans="6:6" x14ac:dyDescent="0.25">
      <c r="F908"/>
    </row>
    <row r="909" spans="6:6" x14ac:dyDescent="0.25">
      <c r="F909"/>
    </row>
    <row r="910" spans="6:6" x14ac:dyDescent="0.25">
      <c r="F910"/>
    </row>
    <row r="911" spans="6:6" x14ac:dyDescent="0.25">
      <c r="F911"/>
    </row>
    <row r="912" spans="6:6" x14ac:dyDescent="0.25">
      <c r="F912"/>
    </row>
    <row r="913" spans="6:6" x14ac:dyDescent="0.25">
      <c r="F913"/>
    </row>
    <row r="914" spans="6:6" x14ac:dyDescent="0.25">
      <c r="F914"/>
    </row>
    <row r="915" spans="6:6" x14ac:dyDescent="0.25">
      <c r="F915"/>
    </row>
    <row r="916" spans="6:6" x14ac:dyDescent="0.25">
      <c r="F916"/>
    </row>
    <row r="917" spans="6:6" x14ac:dyDescent="0.25">
      <c r="F917"/>
    </row>
    <row r="918" spans="6:6" x14ac:dyDescent="0.25">
      <c r="F918"/>
    </row>
    <row r="919" spans="6:6" x14ac:dyDescent="0.25">
      <c r="F919"/>
    </row>
    <row r="920" spans="6:6" x14ac:dyDescent="0.25">
      <c r="F920"/>
    </row>
    <row r="921" spans="6:6" x14ac:dyDescent="0.25">
      <c r="F921"/>
    </row>
    <row r="922" spans="6:6" x14ac:dyDescent="0.25">
      <c r="F922"/>
    </row>
    <row r="923" spans="6:6" x14ac:dyDescent="0.25">
      <c r="F923"/>
    </row>
    <row r="924" spans="6:6" x14ac:dyDescent="0.25">
      <c r="F924"/>
    </row>
    <row r="925" spans="6:6" x14ac:dyDescent="0.25">
      <c r="F925"/>
    </row>
    <row r="926" spans="6:6" x14ac:dyDescent="0.25">
      <c r="F926"/>
    </row>
    <row r="927" spans="6:6" x14ac:dyDescent="0.25">
      <c r="F927"/>
    </row>
    <row r="928" spans="6:6" x14ac:dyDescent="0.25">
      <c r="F928"/>
    </row>
    <row r="929" spans="6:6" x14ac:dyDescent="0.25">
      <c r="F929"/>
    </row>
    <row r="930" spans="6:6" x14ac:dyDescent="0.25">
      <c r="F930"/>
    </row>
    <row r="931" spans="6:6" x14ac:dyDescent="0.25">
      <c r="F931"/>
    </row>
    <row r="932" spans="6:6" x14ac:dyDescent="0.25">
      <c r="F932"/>
    </row>
    <row r="933" spans="6:6" x14ac:dyDescent="0.25">
      <c r="F933"/>
    </row>
    <row r="934" spans="6:6" x14ac:dyDescent="0.25">
      <c r="F934"/>
    </row>
    <row r="935" spans="6:6" x14ac:dyDescent="0.25">
      <c r="F935"/>
    </row>
    <row r="936" spans="6:6" x14ac:dyDescent="0.25">
      <c r="F936"/>
    </row>
    <row r="937" spans="6:6" x14ac:dyDescent="0.25">
      <c r="F937"/>
    </row>
    <row r="938" spans="6:6" x14ac:dyDescent="0.25">
      <c r="F938"/>
    </row>
    <row r="939" spans="6:6" x14ac:dyDescent="0.25">
      <c r="F939"/>
    </row>
    <row r="940" spans="6:6" x14ac:dyDescent="0.25">
      <c r="F940"/>
    </row>
    <row r="941" spans="6:6" x14ac:dyDescent="0.25">
      <c r="F941"/>
    </row>
    <row r="942" spans="6:6" x14ac:dyDescent="0.25">
      <c r="F942"/>
    </row>
    <row r="943" spans="6:6" x14ac:dyDescent="0.25">
      <c r="F943"/>
    </row>
    <row r="944" spans="6:6" x14ac:dyDescent="0.25">
      <c r="F944"/>
    </row>
    <row r="945" spans="6:6" x14ac:dyDescent="0.25">
      <c r="F945"/>
    </row>
    <row r="946" spans="6:6" x14ac:dyDescent="0.25">
      <c r="F946"/>
    </row>
    <row r="947" spans="6:6" x14ac:dyDescent="0.25">
      <c r="F947"/>
    </row>
    <row r="948" spans="6:6" x14ac:dyDescent="0.25">
      <c r="F948"/>
    </row>
    <row r="949" spans="6:6" x14ac:dyDescent="0.25">
      <c r="F949"/>
    </row>
    <row r="950" spans="6:6" x14ac:dyDescent="0.25">
      <c r="F950"/>
    </row>
    <row r="951" spans="6:6" x14ac:dyDescent="0.25">
      <c r="F951"/>
    </row>
    <row r="952" spans="6:6" x14ac:dyDescent="0.25">
      <c r="F952"/>
    </row>
    <row r="953" spans="6:6" x14ac:dyDescent="0.25">
      <c r="F953"/>
    </row>
    <row r="954" spans="6:6" x14ac:dyDescent="0.25">
      <c r="F954"/>
    </row>
    <row r="955" spans="6:6" x14ac:dyDescent="0.25">
      <c r="F955"/>
    </row>
    <row r="956" spans="6:6" x14ac:dyDescent="0.25">
      <c r="F956"/>
    </row>
    <row r="957" spans="6:6" x14ac:dyDescent="0.25">
      <c r="F957"/>
    </row>
    <row r="958" spans="6:6" x14ac:dyDescent="0.25">
      <c r="F958"/>
    </row>
    <row r="959" spans="6:6" x14ac:dyDescent="0.25">
      <c r="F959"/>
    </row>
    <row r="960" spans="6:6" x14ac:dyDescent="0.25">
      <c r="F960"/>
    </row>
    <row r="961" spans="6:6" x14ac:dyDescent="0.25">
      <c r="F961"/>
    </row>
    <row r="962" spans="6:6" x14ac:dyDescent="0.25">
      <c r="F962"/>
    </row>
    <row r="963" spans="6:6" x14ac:dyDescent="0.25">
      <c r="F963"/>
    </row>
    <row r="964" spans="6:6" x14ac:dyDescent="0.25">
      <c r="F964"/>
    </row>
    <row r="965" spans="6:6" x14ac:dyDescent="0.25">
      <c r="F965"/>
    </row>
    <row r="966" spans="6:6" x14ac:dyDescent="0.25">
      <c r="F966"/>
    </row>
    <row r="967" spans="6:6" x14ac:dyDescent="0.25">
      <c r="F967"/>
    </row>
    <row r="968" spans="6:6" x14ac:dyDescent="0.25">
      <c r="F968"/>
    </row>
    <row r="969" spans="6:6" x14ac:dyDescent="0.25">
      <c r="F969"/>
    </row>
    <row r="970" spans="6:6" x14ac:dyDescent="0.25">
      <c r="F970"/>
    </row>
    <row r="971" spans="6:6" x14ac:dyDescent="0.25">
      <c r="F971"/>
    </row>
    <row r="972" spans="6:6" x14ac:dyDescent="0.25">
      <c r="F972"/>
    </row>
    <row r="973" spans="6:6" x14ac:dyDescent="0.25">
      <c r="F973"/>
    </row>
    <row r="974" spans="6:6" x14ac:dyDescent="0.25">
      <c r="F974"/>
    </row>
    <row r="975" spans="6:6" x14ac:dyDescent="0.25">
      <c r="F975"/>
    </row>
    <row r="976" spans="6:6" x14ac:dyDescent="0.25">
      <c r="F976"/>
    </row>
    <row r="977" spans="6:6" x14ac:dyDescent="0.25">
      <c r="F977"/>
    </row>
    <row r="978" spans="6:6" x14ac:dyDescent="0.25">
      <c r="F978"/>
    </row>
    <row r="979" spans="6:6" x14ac:dyDescent="0.25">
      <c r="F979"/>
    </row>
    <row r="980" spans="6:6" x14ac:dyDescent="0.25">
      <c r="F980"/>
    </row>
    <row r="981" spans="6:6" x14ac:dyDescent="0.25">
      <c r="F981"/>
    </row>
    <row r="982" spans="6:6" x14ac:dyDescent="0.25">
      <c r="F982"/>
    </row>
    <row r="983" spans="6:6" x14ac:dyDescent="0.25">
      <c r="F983"/>
    </row>
    <row r="984" spans="6:6" x14ac:dyDescent="0.25">
      <c r="F984"/>
    </row>
    <row r="985" spans="6:6" x14ac:dyDescent="0.25">
      <c r="F985"/>
    </row>
    <row r="986" spans="6:6" x14ac:dyDescent="0.25">
      <c r="F986"/>
    </row>
    <row r="987" spans="6:6" x14ac:dyDescent="0.25">
      <c r="F987"/>
    </row>
    <row r="988" spans="6:6" x14ac:dyDescent="0.25">
      <c r="F988"/>
    </row>
    <row r="989" spans="6:6" x14ac:dyDescent="0.25">
      <c r="F989"/>
    </row>
    <row r="990" spans="6:6" x14ac:dyDescent="0.25">
      <c r="F990"/>
    </row>
    <row r="991" spans="6:6" x14ac:dyDescent="0.25">
      <c r="F991"/>
    </row>
    <row r="992" spans="6:6" x14ac:dyDescent="0.25">
      <c r="F992"/>
    </row>
    <row r="993" spans="6:6" x14ac:dyDescent="0.25">
      <c r="F993"/>
    </row>
    <row r="994" spans="6:6" x14ac:dyDescent="0.25">
      <c r="F994"/>
    </row>
    <row r="995" spans="6:6" x14ac:dyDescent="0.25">
      <c r="F995"/>
    </row>
    <row r="996" spans="6:6" x14ac:dyDescent="0.25">
      <c r="F996"/>
    </row>
    <row r="997" spans="6:6" x14ac:dyDescent="0.25">
      <c r="F997"/>
    </row>
    <row r="998" spans="6:6" x14ac:dyDescent="0.25">
      <c r="F998"/>
    </row>
    <row r="999" spans="6:6" x14ac:dyDescent="0.25">
      <c r="F999"/>
    </row>
    <row r="1000" spans="6:6" x14ac:dyDescent="0.25">
      <c r="F1000"/>
    </row>
    <row r="1001" spans="6:6" x14ac:dyDescent="0.25">
      <c r="F1001"/>
    </row>
    <row r="1002" spans="6:6" x14ac:dyDescent="0.25">
      <c r="F1002"/>
    </row>
    <row r="1003" spans="6:6" x14ac:dyDescent="0.25">
      <c r="F1003"/>
    </row>
    <row r="1004" spans="6:6" x14ac:dyDescent="0.25">
      <c r="F1004"/>
    </row>
    <row r="1005" spans="6:6" x14ac:dyDescent="0.25">
      <c r="F1005"/>
    </row>
    <row r="1006" spans="6:6" x14ac:dyDescent="0.25">
      <c r="F1006"/>
    </row>
    <row r="1007" spans="6:6" x14ac:dyDescent="0.25">
      <c r="F1007"/>
    </row>
    <row r="1008" spans="6:6" x14ac:dyDescent="0.25">
      <c r="F1008"/>
    </row>
    <row r="1009" spans="6:6" x14ac:dyDescent="0.25">
      <c r="F1009"/>
    </row>
    <row r="1010" spans="6:6" x14ac:dyDescent="0.25">
      <c r="F1010"/>
    </row>
    <row r="1011" spans="6:6" x14ac:dyDescent="0.25">
      <c r="F1011"/>
    </row>
    <row r="1012" spans="6:6" x14ac:dyDescent="0.25">
      <c r="F1012"/>
    </row>
    <row r="1013" spans="6:6" x14ac:dyDescent="0.25">
      <c r="F1013"/>
    </row>
    <row r="1014" spans="6:6" x14ac:dyDescent="0.25">
      <c r="F1014"/>
    </row>
    <row r="1015" spans="6:6" x14ac:dyDescent="0.25">
      <c r="F1015"/>
    </row>
    <row r="1016" spans="6:6" x14ac:dyDescent="0.25">
      <c r="F1016"/>
    </row>
    <row r="1017" spans="6:6" x14ac:dyDescent="0.25">
      <c r="F1017"/>
    </row>
    <row r="1018" spans="6:6" x14ac:dyDescent="0.25">
      <c r="F1018"/>
    </row>
    <row r="1019" spans="6:6" x14ac:dyDescent="0.25">
      <c r="F1019"/>
    </row>
    <row r="1020" spans="6:6" x14ac:dyDescent="0.25">
      <c r="F1020"/>
    </row>
    <row r="1021" spans="6:6" x14ac:dyDescent="0.25">
      <c r="F1021"/>
    </row>
    <row r="1022" spans="6:6" x14ac:dyDescent="0.25">
      <c r="F1022"/>
    </row>
    <row r="1023" spans="6:6" x14ac:dyDescent="0.25">
      <c r="F1023"/>
    </row>
    <row r="1024" spans="6:6" x14ac:dyDescent="0.25">
      <c r="F1024"/>
    </row>
    <row r="1025" spans="6:6" x14ac:dyDescent="0.25">
      <c r="F1025"/>
    </row>
    <row r="1026" spans="6:6" x14ac:dyDescent="0.25">
      <c r="F1026"/>
    </row>
    <row r="1027" spans="6:6" x14ac:dyDescent="0.25">
      <c r="F1027"/>
    </row>
    <row r="1028" spans="6:6" x14ac:dyDescent="0.25">
      <c r="F1028"/>
    </row>
    <row r="1029" spans="6:6" x14ac:dyDescent="0.25">
      <c r="F1029"/>
    </row>
    <row r="1030" spans="6:6" x14ac:dyDescent="0.25">
      <c r="F1030"/>
    </row>
    <row r="1031" spans="6:6" x14ac:dyDescent="0.25">
      <c r="F1031"/>
    </row>
    <row r="1032" spans="6:6" x14ac:dyDescent="0.25">
      <c r="F1032"/>
    </row>
    <row r="1033" spans="6:6" x14ac:dyDescent="0.25">
      <c r="F1033"/>
    </row>
    <row r="1034" spans="6:6" x14ac:dyDescent="0.25">
      <c r="F1034"/>
    </row>
    <row r="1035" spans="6:6" x14ac:dyDescent="0.25">
      <c r="F1035"/>
    </row>
    <row r="1036" spans="6:6" x14ac:dyDescent="0.25">
      <c r="F1036"/>
    </row>
    <row r="1037" spans="6:6" x14ac:dyDescent="0.25">
      <c r="F1037"/>
    </row>
    <row r="1038" spans="6:6" x14ac:dyDescent="0.25">
      <c r="F1038"/>
    </row>
    <row r="1039" spans="6:6" x14ac:dyDescent="0.25">
      <c r="F1039"/>
    </row>
    <row r="1040" spans="6:6" x14ac:dyDescent="0.25">
      <c r="F1040"/>
    </row>
    <row r="1041" spans="6:6" x14ac:dyDescent="0.25">
      <c r="F1041"/>
    </row>
    <row r="1042" spans="6:6" x14ac:dyDescent="0.25">
      <c r="F1042"/>
    </row>
    <row r="1043" spans="6:6" x14ac:dyDescent="0.25">
      <c r="F1043"/>
    </row>
    <row r="1044" spans="6:6" x14ac:dyDescent="0.25">
      <c r="F1044"/>
    </row>
    <row r="1045" spans="6:6" x14ac:dyDescent="0.25">
      <c r="F1045"/>
    </row>
    <row r="1046" spans="6:6" x14ac:dyDescent="0.25">
      <c r="F1046"/>
    </row>
    <row r="1047" spans="6:6" x14ac:dyDescent="0.25">
      <c r="F1047"/>
    </row>
    <row r="1048" spans="6:6" x14ac:dyDescent="0.25">
      <c r="F1048"/>
    </row>
    <row r="1049" spans="6:6" x14ac:dyDescent="0.25">
      <c r="F1049"/>
    </row>
    <row r="1050" spans="6:6" x14ac:dyDescent="0.25">
      <c r="F1050"/>
    </row>
    <row r="1051" spans="6:6" x14ac:dyDescent="0.25">
      <c r="F1051"/>
    </row>
    <row r="1052" spans="6:6" x14ac:dyDescent="0.25">
      <c r="F1052"/>
    </row>
    <row r="1053" spans="6:6" x14ac:dyDescent="0.25">
      <c r="F1053"/>
    </row>
    <row r="1054" spans="6:6" x14ac:dyDescent="0.25">
      <c r="F1054"/>
    </row>
    <row r="1055" spans="6:6" x14ac:dyDescent="0.25">
      <c r="F1055"/>
    </row>
    <row r="1056" spans="6:6" x14ac:dyDescent="0.25">
      <c r="F1056"/>
    </row>
    <row r="1057" spans="6:6" x14ac:dyDescent="0.25">
      <c r="F1057"/>
    </row>
    <row r="1058" spans="6:6" x14ac:dyDescent="0.25">
      <c r="F1058"/>
    </row>
    <row r="1059" spans="6:6" x14ac:dyDescent="0.25">
      <c r="F1059"/>
    </row>
    <row r="1060" spans="6:6" x14ac:dyDescent="0.25">
      <c r="F1060"/>
    </row>
    <row r="1061" spans="6:6" x14ac:dyDescent="0.25">
      <c r="F1061"/>
    </row>
    <row r="1062" spans="6:6" x14ac:dyDescent="0.25">
      <c r="F1062"/>
    </row>
    <row r="1063" spans="6:6" x14ac:dyDescent="0.25">
      <c r="F1063"/>
    </row>
    <row r="1064" spans="6:6" x14ac:dyDescent="0.25">
      <c r="F1064"/>
    </row>
    <row r="1065" spans="6:6" x14ac:dyDescent="0.25">
      <c r="F1065"/>
    </row>
    <row r="1066" spans="6:6" x14ac:dyDescent="0.25">
      <c r="F1066"/>
    </row>
    <row r="1067" spans="6:6" x14ac:dyDescent="0.25">
      <c r="F1067"/>
    </row>
    <row r="1068" spans="6:6" x14ac:dyDescent="0.25">
      <c r="F1068"/>
    </row>
    <row r="1069" spans="6:6" x14ac:dyDescent="0.25">
      <c r="F1069"/>
    </row>
    <row r="1070" spans="6:6" x14ac:dyDescent="0.25">
      <c r="F1070"/>
    </row>
    <row r="1071" spans="6:6" x14ac:dyDescent="0.25">
      <c r="F1071"/>
    </row>
    <row r="1072" spans="6:6" x14ac:dyDescent="0.25">
      <c r="F1072"/>
    </row>
    <row r="1073" spans="6:6" x14ac:dyDescent="0.25">
      <c r="F1073"/>
    </row>
    <row r="1074" spans="6:6" x14ac:dyDescent="0.25">
      <c r="F1074"/>
    </row>
    <row r="1075" spans="6:6" x14ac:dyDescent="0.25">
      <c r="F1075"/>
    </row>
    <row r="1076" spans="6:6" x14ac:dyDescent="0.25">
      <c r="F1076"/>
    </row>
    <row r="1077" spans="6:6" x14ac:dyDescent="0.25">
      <c r="F1077"/>
    </row>
    <row r="1078" spans="6:6" x14ac:dyDescent="0.25">
      <c r="F1078"/>
    </row>
    <row r="1079" spans="6:6" x14ac:dyDescent="0.25">
      <c r="F1079"/>
    </row>
    <row r="1080" spans="6:6" x14ac:dyDescent="0.25">
      <c r="F1080"/>
    </row>
    <row r="1081" spans="6:6" x14ac:dyDescent="0.25">
      <c r="F1081"/>
    </row>
    <row r="1082" spans="6:6" x14ac:dyDescent="0.25">
      <c r="F1082"/>
    </row>
    <row r="1083" spans="6:6" x14ac:dyDescent="0.25">
      <c r="F1083"/>
    </row>
    <row r="1084" spans="6:6" x14ac:dyDescent="0.25">
      <c r="F1084"/>
    </row>
    <row r="1085" spans="6:6" x14ac:dyDescent="0.25">
      <c r="F1085"/>
    </row>
    <row r="1086" spans="6:6" x14ac:dyDescent="0.25">
      <c r="F1086"/>
    </row>
    <row r="1087" spans="6:6" x14ac:dyDescent="0.25">
      <c r="F1087"/>
    </row>
    <row r="1088" spans="6:6" x14ac:dyDescent="0.25">
      <c r="F1088"/>
    </row>
    <row r="1089" spans="6:6" x14ac:dyDescent="0.25">
      <c r="F1089"/>
    </row>
    <row r="1090" spans="6:6" x14ac:dyDescent="0.25">
      <c r="F1090"/>
    </row>
    <row r="1091" spans="6:6" x14ac:dyDescent="0.25">
      <c r="F1091"/>
    </row>
    <row r="1092" spans="6:6" x14ac:dyDescent="0.25">
      <c r="F1092"/>
    </row>
    <row r="1093" spans="6:6" x14ac:dyDescent="0.25">
      <c r="F1093"/>
    </row>
    <row r="1094" spans="6:6" x14ac:dyDescent="0.25">
      <c r="F1094"/>
    </row>
    <row r="1095" spans="6:6" x14ac:dyDescent="0.25">
      <c r="F1095"/>
    </row>
    <row r="1096" spans="6:6" x14ac:dyDescent="0.25">
      <c r="F1096"/>
    </row>
    <row r="1097" spans="6:6" x14ac:dyDescent="0.25">
      <c r="F1097"/>
    </row>
    <row r="1098" spans="6:6" x14ac:dyDescent="0.25">
      <c r="F1098"/>
    </row>
    <row r="1099" spans="6:6" x14ac:dyDescent="0.25">
      <c r="F1099"/>
    </row>
    <row r="1100" spans="6:6" x14ac:dyDescent="0.25">
      <c r="F1100"/>
    </row>
    <row r="1101" spans="6:6" x14ac:dyDescent="0.25">
      <c r="F1101"/>
    </row>
    <row r="1102" spans="6:6" x14ac:dyDescent="0.25">
      <c r="F1102"/>
    </row>
    <row r="1103" spans="6:6" x14ac:dyDescent="0.25">
      <c r="F1103"/>
    </row>
    <row r="1104" spans="6:6" x14ac:dyDescent="0.25">
      <c r="F1104"/>
    </row>
    <row r="1105" spans="6:6" x14ac:dyDescent="0.25">
      <c r="F1105"/>
    </row>
    <row r="1106" spans="6:6" x14ac:dyDescent="0.25">
      <c r="F1106"/>
    </row>
    <row r="1107" spans="6:6" x14ac:dyDescent="0.25">
      <c r="F1107"/>
    </row>
    <row r="1108" spans="6:6" x14ac:dyDescent="0.25">
      <c r="F1108"/>
    </row>
    <row r="1109" spans="6:6" x14ac:dyDescent="0.25">
      <c r="F1109"/>
    </row>
    <row r="1110" spans="6:6" x14ac:dyDescent="0.25">
      <c r="F1110"/>
    </row>
    <row r="1111" spans="6:6" x14ac:dyDescent="0.25">
      <c r="F1111"/>
    </row>
    <row r="1112" spans="6:6" x14ac:dyDescent="0.25">
      <c r="F1112"/>
    </row>
    <row r="1113" spans="6:6" x14ac:dyDescent="0.25">
      <c r="F1113"/>
    </row>
    <row r="1114" spans="6:6" x14ac:dyDescent="0.25">
      <c r="F1114"/>
    </row>
    <row r="1115" spans="6:6" x14ac:dyDescent="0.25">
      <c r="F1115"/>
    </row>
    <row r="1116" spans="6:6" x14ac:dyDescent="0.25">
      <c r="F1116"/>
    </row>
    <row r="1117" spans="6:6" x14ac:dyDescent="0.25">
      <c r="F1117"/>
    </row>
    <row r="1118" spans="6:6" x14ac:dyDescent="0.25">
      <c r="F1118"/>
    </row>
    <row r="1119" spans="6:6" x14ac:dyDescent="0.25">
      <c r="F1119"/>
    </row>
    <row r="1120" spans="6:6" x14ac:dyDescent="0.25">
      <c r="F1120"/>
    </row>
    <row r="1121" spans="6:6" x14ac:dyDescent="0.25">
      <c r="F1121"/>
    </row>
    <row r="1122" spans="6:6" x14ac:dyDescent="0.25">
      <c r="F1122"/>
    </row>
    <row r="1123" spans="6:6" x14ac:dyDescent="0.25">
      <c r="F1123"/>
    </row>
    <row r="1124" spans="6:6" x14ac:dyDescent="0.25">
      <c r="F1124"/>
    </row>
    <row r="1125" spans="6:6" x14ac:dyDescent="0.25">
      <c r="F1125"/>
    </row>
    <row r="1126" spans="6:6" x14ac:dyDescent="0.25">
      <c r="F1126"/>
    </row>
    <row r="1127" spans="6:6" x14ac:dyDescent="0.25">
      <c r="F1127"/>
    </row>
    <row r="1128" spans="6:6" x14ac:dyDescent="0.25">
      <c r="F1128"/>
    </row>
    <row r="1129" spans="6:6" x14ac:dyDescent="0.25">
      <c r="F1129"/>
    </row>
    <row r="1130" spans="6:6" x14ac:dyDescent="0.25">
      <c r="F1130"/>
    </row>
    <row r="1131" spans="6:6" x14ac:dyDescent="0.25">
      <c r="F1131"/>
    </row>
    <row r="1132" spans="6:6" x14ac:dyDescent="0.25">
      <c r="F1132"/>
    </row>
    <row r="1133" spans="6:6" x14ac:dyDescent="0.25">
      <c r="F1133"/>
    </row>
    <row r="1134" spans="6:6" x14ac:dyDescent="0.25">
      <c r="F1134"/>
    </row>
    <row r="1135" spans="6:6" x14ac:dyDescent="0.25">
      <c r="F1135"/>
    </row>
    <row r="1136" spans="6:6" x14ac:dyDescent="0.25">
      <c r="F1136"/>
    </row>
    <row r="1137" spans="6:6" x14ac:dyDescent="0.25">
      <c r="F1137"/>
    </row>
    <row r="1138" spans="6:6" x14ac:dyDescent="0.25">
      <c r="F1138"/>
    </row>
    <row r="1139" spans="6:6" x14ac:dyDescent="0.25">
      <c r="F1139"/>
    </row>
    <row r="1140" spans="6:6" x14ac:dyDescent="0.25">
      <c r="F1140"/>
    </row>
    <row r="1141" spans="6:6" x14ac:dyDescent="0.25">
      <c r="F1141"/>
    </row>
    <row r="1142" spans="6:6" x14ac:dyDescent="0.25">
      <c r="F1142"/>
    </row>
    <row r="1143" spans="6:6" x14ac:dyDescent="0.25">
      <c r="F1143"/>
    </row>
    <row r="1144" spans="6:6" x14ac:dyDescent="0.25">
      <c r="F1144"/>
    </row>
    <row r="1145" spans="6:6" x14ac:dyDescent="0.25">
      <c r="F1145"/>
    </row>
    <row r="1146" spans="6:6" x14ac:dyDescent="0.25">
      <c r="F1146"/>
    </row>
    <row r="1147" spans="6:6" x14ac:dyDescent="0.25">
      <c r="F1147"/>
    </row>
    <row r="1148" spans="6:6" x14ac:dyDescent="0.25">
      <c r="F1148"/>
    </row>
    <row r="1149" spans="6:6" x14ac:dyDescent="0.25">
      <c r="F1149"/>
    </row>
    <row r="1150" spans="6:6" x14ac:dyDescent="0.25">
      <c r="F1150"/>
    </row>
    <row r="1151" spans="6:6" x14ac:dyDescent="0.25">
      <c r="F1151"/>
    </row>
    <row r="1152" spans="6:6" x14ac:dyDescent="0.25">
      <c r="F1152"/>
    </row>
    <row r="1153" spans="6:6" x14ac:dyDescent="0.25">
      <c r="F1153"/>
    </row>
    <row r="1154" spans="6:6" x14ac:dyDescent="0.25">
      <c r="F1154"/>
    </row>
    <row r="1155" spans="6:6" x14ac:dyDescent="0.25">
      <c r="F1155"/>
    </row>
    <row r="1156" spans="6:6" x14ac:dyDescent="0.25">
      <c r="F1156"/>
    </row>
    <row r="1157" spans="6:6" x14ac:dyDescent="0.25">
      <c r="F1157"/>
    </row>
    <row r="1158" spans="6:6" x14ac:dyDescent="0.25">
      <c r="F1158"/>
    </row>
    <row r="1159" spans="6:6" x14ac:dyDescent="0.25">
      <c r="F1159"/>
    </row>
    <row r="1160" spans="6:6" x14ac:dyDescent="0.25">
      <c r="F1160"/>
    </row>
    <row r="1161" spans="6:6" x14ac:dyDescent="0.25">
      <c r="F1161"/>
    </row>
    <row r="1162" spans="6:6" x14ac:dyDescent="0.25">
      <c r="F1162"/>
    </row>
    <row r="1163" spans="6:6" x14ac:dyDescent="0.25">
      <c r="F1163"/>
    </row>
    <row r="1164" spans="6:6" x14ac:dyDescent="0.25">
      <c r="F1164"/>
    </row>
    <row r="1165" spans="6:6" x14ac:dyDescent="0.25">
      <c r="F1165"/>
    </row>
    <row r="1166" spans="6:6" x14ac:dyDescent="0.25">
      <c r="F1166"/>
    </row>
    <row r="1167" spans="6:6" x14ac:dyDescent="0.25">
      <c r="F1167"/>
    </row>
    <row r="1168" spans="6:6" x14ac:dyDescent="0.25">
      <c r="F1168"/>
    </row>
    <row r="1169" spans="6:6" x14ac:dyDescent="0.25">
      <c r="F1169"/>
    </row>
    <row r="1170" spans="6:6" x14ac:dyDescent="0.25">
      <c r="F1170"/>
    </row>
    <row r="1171" spans="6:6" x14ac:dyDescent="0.25">
      <c r="F1171"/>
    </row>
    <row r="1172" spans="6:6" x14ac:dyDescent="0.25">
      <c r="F1172"/>
    </row>
    <row r="1173" spans="6:6" x14ac:dyDescent="0.25">
      <c r="F1173"/>
    </row>
    <row r="1174" spans="6:6" x14ac:dyDescent="0.25">
      <c r="F1174"/>
    </row>
    <row r="1175" spans="6:6" x14ac:dyDescent="0.25">
      <c r="F1175"/>
    </row>
    <row r="1176" spans="6:6" x14ac:dyDescent="0.25">
      <c r="F1176"/>
    </row>
    <row r="1177" spans="6:6" x14ac:dyDescent="0.25">
      <c r="F1177"/>
    </row>
    <row r="1178" spans="6:6" x14ac:dyDescent="0.25">
      <c r="F1178"/>
    </row>
    <row r="1179" spans="6:6" x14ac:dyDescent="0.25">
      <c r="F1179"/>
    </row>
    <row r="1180" spans="6:6" x14ac:dyDescent="0.25">
      <c r="F1180"/>
    </row>
    <row r="1181" spans="6:6" x14ac:dyDescent="0.25">
      <c r="F1181"/>
    </row>
    <row r="1182" spans="6:6" x14ac:dyDescent="0.25">
      <c r="F1182"/>
    </row>
    <row r="1183" spans="6:6" x14ac:dyDescent="0.25">
      <c r="F1183"/>
    </row>
    <row r="1184" spans="6:6" x14ac:dyDescent="0.25">
      <c r="F1184"/>
    </row>
    <row r="1185" spans="6:6" x14ac:dyDescent="0.25">
      <c r="F1185"/>
    </row>
    <row r="1186" spans="6:6" x14ac:dyDescent="0.25">
      <c r="F1186"/>
    </row>
    <row r="1187" spans="6:6" x14ac:dyDescent="0.25">
      <c r="F1187"/>
    </row>
    <row r="1188" spans="6:6" x14ac:dyDescent="0.25">
      <c r="F1188"/>
    </row>
    <row r="1189" spans="6:6" x14ac:dyDescent="0.25">
      <c r="F1189"/>
    </row>
    <row r="1190" spans="6:6" x14ac:dyDescent="0.25">
      <c r="F1190"/>
    </row>
    <row r="1191" spans="6:6" x14ac:dyDescent="0.25">
      <c r="F1191"/>
    </row>
    <row r="1192" spans="6:6" x14ac:dyDescent="0.25">
      <c r="F1192"/>
    </row>
    <row r="1193" spans="6:6" x14ac:dyDescent="0.25">
      <c r="F1193"/>
    </row>
    <row r="1194" spans="6:6" x14ac:dyDescent="0.25">
      <c r="F1194"/>
    </row>
    <row r="1195" spans="6:6" x14ac:dyDescent="0.25">
      <c r="F1195"/>
    </row>
    <row r="1196" spans="6:6" x14ac:dyDescent="0.25">
      <c r="F1196"/>
    </row>
    <row r="1197" spans="6:6" x14ac:dyDescent="0.25">
      <c r="F1197"/>
    </row>
    <row r="1198" spans="6:6" x14ac:dyDescent="0.25">
      <c r="F1198"/>
    </row>
    <row r="1199" spans="6:6" x14ac:dyDescent="0.25">
      <c r="F1199"/>
    </row>
    <row r="1200" spans="6:6" x14ac:dyDescent="0.25">
      <c r="F1200"/>
    </row>
    <row r="1201" spans="6:6" x14ac:dyDescent="0.25">
      <c r="F1201"/>
    </row>
    <row r="1202" spans="6:6" x14ac:dyDescent="0.25">
      <c r="F1202"/>
    </row>
    <row r="1203" spans="6:6" x14ac:dyDescent="0.25">
      <c r="F1203"/>
    </row>
    <row r="1204" spans="6:6" x14ac:dyDescent="0.25">
      <c r="F1204"/>
    </row>
    <row r="1205" spans="6:6" x14ac:dyDescent="0.25">
      <c r="F1205"/>
    </row>
    <row r="1206" spans="6:6" x14ac:dyDescent="0.25">
      <c r="F1206"/>
    </row>
    <row r="1207" spans="6:6" x14ac:dyDescent="0.25">
      <c r="F1207"/>
    </row>
    <row r="1208" spans="6:6" x14ac:dyDescent="0.25">
      <c r="F1208"/>
    </row>
    <row r="1209" spans="6:6" x14ac:dyDescent="0.25">
      <c r="F1209"/>
    </row>
    <row r="1210" spans="6:6" x14ac:dyDescent="0.25">
      <c r="F1210"/>
    </row>
    <row r="1211" spans="6:6" x14ac:dyDescent="0.25">
      <c r="F1211"/>
    </row>
    <row r="1212" spans="6:6" x14ac:dyDescent="0.25">
      <c r="F1212"/>
    </row>
    <row r="1213" spans="6:6" x14ac:dyDescent="0.25">
      <c r="F1213"/>
    </row>
    <row r="1214" spans="6:6" x14ac:dyDescent="0.25">
      <c r="F1214"/>
    </row>
    <row r="1215" spans="6:6" x14ac:dyDescent="0.25">
      <c r="F1215"/>
    </row>
    <row r="1216" spans="6:6" x14ac:dyDescent="0.25">
      <c r="F1216"/>
    </row>
    <row r="1217" spans="6:6" x14ac:dyDescent="0.25">
      <c r="F1217"/>
    </row>
    <row r="1218" spans="6:6" x14ac:dyDescent="0.25">
      <c r="F1218"/>
    </row>
    <row r="1219" spans="6:6" x14ac:dyDescent="0.25">
      <c r="F1219"/>
    </row>
    <row r="1220" spans="6:6" x14ac:dyDescent="0.25">
      <c r="F1220"/>
    </row>
    <row r="1221" spans="6:6" x14ac:dyDescent="0.25">
      <c r="F1221"/>
    </row>
    <row r="1222" spans="6:6" x14ac:dyDescent="0.25">
      <c r="F1222"/>
    </row>
    <row r="1223" spans="6:6" x14ac:dyDescent="0.25">
      <c r="F1223"/>
    </row>
    <row r="1224" spans="6:6" x14ac:dyDescent="0.25">
      <c r="F1224"/>
    </row>
    <row r="1225" spans="6:6" x14ac:dyDescent="0.25">
      <c r="F1225"/>
    </row>
    <row r="1226" spans="6:6" x14ac:dyDescent="0.25">
      <c r="F1226"/>
    </row>
    <row r="1227" spans="6:6" x14ac:dyDescent="0.25">
      <c r="F1227"/>
    </row>
    <row r="1228" spans="6:6" x14ac:dyDescent="0.25">
      <c r="F1228"/>
    </row>
    <row r="1229" spans="6:6" x14ac:dyDescent="0.25">
      <c r="F1229"/>
    </row>
    <row r="1230" spans="6:6" x14ac:dyDescent="0.25">
      <c r="F1230"/>
    </row>
    <row r="1231" spans="6:6" x14ac:dyDescent="0.25">
      <c r="F1231"/>
    </row>
    <row r="1232" spans="6:6" x14ac:dyDescent="0.25">
      <c r="F1232"/>
    </row>
    <row r="1233" spans="6:6" x14ac:dyDescent="0.25">
      <c r="F1233"/>
    </row>
    <row r="1234" spans="6:6" x14ac:dyDescent="0.25">
      <c r="F1234"/>
    </row>
    <row r="1235" spans="6:6" x14ac:dyDescent="0.25">
      <c r="F1235"/>
    </row>
    <row r="1236" spans="6:6" x14ac:dyDescent="0.25">
      <c r="F1236"/>
    </row>
    <row r="1237" spans="6:6" x14ac:dyDescent="0.25">
      <c r="F1237"/>
    </row>
    <row r="1238" spans="6:6" x14ac:dyDescent="0.25">
      <c r="F1238"/>
    </row>
    <row r="1239" spans="6:6" x14ac:dyDescent="0.25">
      <c r="F1239"/>
    </row>
    <row r="1240" spans="6:6" x14ac:dyDescent="0.25">
      <c r="F1240"/>
    </row>
    <row r="1241" spans="6:6" x14ac:dyDescent="0.25">
      <c r="F1241"/>
    </row>
    <row r="1242" spans="6:6" x14ac:dyDescent="0.25">
      <c r="F1242"/>
    </row>
    <row r="1243" spans="6:6" x14ac:dyDescent="0.25">
      <c r="F1243"/>
    </row>
    <row r="1244" spans="6:6" x14ac:dyDescent="0.25">
      <c r="F1244"/>
    </row>
    <row r="1245" spans="6:6" x14ac:dyDescent="0.25">
      <c r="F1245"/>
    </row>
    <row r="1246" spans="6:6" x14ac:dyDescent="0.25">
      <c r="F1246"/>
    </row>
    <row r="1247" spans="6:6" x14ac:dyDescent="0.25">
      <c r="F1247"/>
    </row>
    <row r="1248" spans="6:6" x14ac:dyDescent="0.25">
      <c r="F1248"/>
    </row>
    <row r="1249" spans="6:6" x14ac:dyDescent="0.25">
      <c r="F1249"/>
    </row>
    <row r="1250" spans="6:6" x14ac:dyDescent="0.25">
      <c r="F1250"/>
    </row>
    <row r="1251" spans="6:6" x14ac:dyDescent="0.25">
      <c r="F1251"/>
    </row>
    <row r="1252" spans="6:6" x14ac:dyDescent="0.25">
      <c r="F1252"/>
    </row>
    <row r="1253" spans="6:6" x14ac:dyDescent="0.25">
      <c r="F1253"/>
    </row>
    <row r="1254" spans="6:6" x14ac:dyDescent="0.25">
      <c r="F1254"/>
    </row>
    <row r="1255" spans="6:6" x14ac:dyDescent="0.25">
      <c r="F1255"/>
    </row>
    <row r="1256" spans="6:6" x14ac:dyDescent="0.25">
      <c r="F1256"/>
    </row>
    <row r="1257" spans="6:6" x14ac:dyDescent="0.25">
      <c r="F1257"/>
    </row>
    <row r="1258" spans="6:6" x14ac:dyDescent="0.25">
      <c r="F1258"/>
    </row>
    <row r="1259" spans="6:6" x14ac:dyDescent="0.25">
      <c r="F1259"/>
    </row>
    <row r="1260" spans="6:6" x14ac:dyDescent="0.25">
      <c r="F1260"/>
    </row>
    <row r="1261" spans="6:6" x14ac:dyDescent="0.25">
      <c r="F1261"/>
    </row>
    <row r="1262" spans="6:6" x14ac:dyDescent="0.25">
      <c r="F1262"/>
    </row>
    <row r="1263" spans="6:6" x14ac:dyDescent="0.25">
      <c r="F1263"/>
    </row>
    <row r="1264" spans="6:6" x14ac:dyDescent="0.25">
      <c r="F1264"/>
    </row>
    <row r="1265" spans="6:6" x14ac:dyDescent="0.25">
      <c r="F1265"/>
    </row>
    <row r="1266" spans="6:6" x14ac:dyDescent="0.25">
      <c r="F1266"/>
    </row>
    <row r="1267" spans="6:6" x14ac:dyDescent="0.25">
      <c r="F1267"/>
    </row>
    <row r="1268" spans="6:6" x14ac:dyDescent="0.25">
      <c r="F1268"/>
    </row>
    <row r="1269" spans="6:6" x14ac:dyDescent="0.25">
      <c r="F1269"/>
    </row>
    <row r="1270" spans="6:6" x14ac:dyDescent="0.25">
      <c r="F1270"/>
    </row>
    <row r="1271" spans="6:6" x14ac:dyDescent="0.25">
      <c r="F1271"/>
    </row>
    <row r="1272" spans="6:6" x14ac:dyDescent="0.25">
      <c r="F1272"/>
    </row>
    <row r="1273" spans="6:6" x14ac:dyDescent="0.25">
      <c r="F1273"/>
    </row>
    <row r="1274" spans="6:6" x14ac:dyDescent="0.25">
      <c r="F1274"/>
    </row>
    <row r="1275" spans="6:6" x14ac:dyDescent="0.25">
      <c r="F1275"/>
    </row>
    <row r="1276" spans="6:6" x14ac:dyDescent="0.25">
      <c r="F1276"/>
    </row>
    <row r="1277" spans="6:6" x14ac:dyDescent="0.25">
      <c r="F1277"/>
    </row>
    <row r="1278" spans="6:6" x14ac:dyDescent="0.25">
      <c r="F1278"/>
    </row>
    <row r="1279" spans="6:6" x14ac:dyDescent="0.25">
      <c r="F1279"/>
    </row>
    <row r="1280" spans="6:6" x14ac:dyDescent="0.25">
      <c r="F1280"/>
    </row>
    <row r="1281" spans="6:6" x14ac:dyDescent="0.25">
      <c r="F1281"/>
    </row>
    <row r="1282" spans="6:6" x14ac:dyDescent="0.25">
      <c r="F1282"/>
    </row>
    <row r="1283" spans="6:6" x14ac:dyDescent="0.25">
      <c r="F1283"/>
    </row>
    <row r="1284" spans="6:6" x14ac:dyDescent="0.25">
      <c r="F1284"/>
    </row>
    <row r="1285" spans="6:6" x14ac:dyDescent="0.25">
      <c r="F1285"/>
    </row>
    <row r="1286" spans="6:6" x14ac:dyDescent="0.25">
      <c r="F1286"/>
    </row>
    <row r="1287" spans="6:6" x14ac:dyDescent="0.25">
      <c r="F1287"/>
    </row>
    <row r="1288" spans="6:6" x14ac:dyDescent="0.25">
      <c r="F1288"/>
    </row>
    <row r="1289" spans="6:6" x14ac:dyDescent="0.25">
      <c r="F1289"/>
    </row>
    <row r="1290" spans="6:6" x14ac:dyDescent="0.25">
      <c r="F1290"/>
    </row>
    <row r="1291" spans="6:6" x14ac:dyDescent="0.25">
      <c r="F1291"/>
    </row>
    <row r="1292" spans="6:6" x14ac:dyDescent="0.25">
      <c r="F1292"/>
    </row>
    <row r="1293" spans="6:6" x14ac:dyDescent="0.25">
      <c r="F1293"/>
    </row>
    <row r="1294" spans="6:6" x14ac:dyDescent="0.25">
      <c r="F1294"/>
    </row>
    <row r="1295" spans="6:6" x14ac:dyDescent="0.25">
      <c r="F1295"/>
    </row>
    <row r="1296" spans="6:6" x14ac:dyDescent="0.25">
      <c r="F1296"/>
    </row>
    <row r="1297" spans="6:6" x14ac:dyDescent="0.25">
      <c r="F1297"/>
    </row>
    <row r="1298" spans="6:6" x14ac:dyDescent="0.25">
      <c r="F1298"/>
    </row>
    <row r="1299" spans="6:6" x14ac:dyDescent="0.25">
      <c r="F1299"/>
    </row>
    <row r="1300" spans="6:6" x14ac:dyDescent="0.25">
      <c r="F1300"/>
    </row>
    <row r="1301" spans="6:6" x14ac:dyDescent="0.25">
      <c r="F1301"/>
    </row>
    <row r="1302" spans="6:6" x14ac:dyDescent="0.25">
      <c r="F1302"/>
    </row>
    <row r="1303" spans="6:6" x14ac:dyDescent="0.25">
      <c r="F1303"/>
    </row>
    <row r="1304" spans="6:6" x14ac:dyDescent="0.25">
      <c r="F1304"/>
    </row>
    <row r="1305" spans="6:6" x14ac:dyDescent="0.25">
      <c r="F1305"/>
    </row>
    <row r="1306" spans="6:6" x14ac:dyDescent="0.25">
      <c r="F1306"/>
    </row>
    <row r="1307" spans="6:6" x14ac:dyDescent="0.25">
      <c r="F1307"/>
    </row>
    <row r="1308" spans="6:6" x14ac:dyDescent="0.25">
      <c r="F1308"/>
    </row>
    <row r="1309" spans="6:6" x14ac:dyDescent="0.25">
      <c r="F1309"/>
    </row>
    <row r="1310" spans="6:6" x14ac:dyDescent="0.25">
      <c r="F1310"/>
    </row>
    <row r="1311" spans="6:6" x14ac:dyDescent="0.25">
      <c r="F1311"/>
    </row>
    <row r="1312" spans="6:6" x14ac:dyDescent="0.25">
      <c r="F1312"/>
    </row>
    <row r="1313" spans="6:6" x14ac:dyDescent="0.25">
      <c r="F1313"/>
    </row>
    <row r="1314" spans="6:6" x14ac:dyDescent="0.25">
      <c r="F1314"/>
    </row>
    <row r="1315" spans="6:6" x14ac:dyDescent="0.25">
      <c r="F1315"/>
    </row>
    <row r="1316" spans="6:6" x14ac:dyDescent="0.25">
      <c r="F1316"/>
    </row>
    <row r="1317" spans="6:6" x14ac:dyDescent="0.25">
      <c r="F1317"/>
    </row>
    <row r="1318" spans="6:6" x14ac:dyDescent="0.25">
      <c r="F1318"/>
    </row>
    <row r="1319" spans="6:6" x14ac:dyDescent="0.25">
      <c r="F1319"/>
    </row>
    <row r="1320" spans="6:6" x14ac:dyDescent="0.25">
      <c r="F1320"/>
    </row>
    <row r="1321" spans="6:6" x14ac:dyDescent="0.25">
      <c r="F1321"/>
    </row>
    <row r="1322" spans="6:6" x14ac:dyDescent="0.25">
      <c r="F1322"/>
    </row>
    <row r="1323" spans="6:6" x14ac:dyDescent="0.25">
      <c r="F1323"/>
    </row>
    <row r="1324" spans="6:6" x14ac:dyDescent="0.25">
      <c r="F1324"/>
    </row>
    <row r="1325" spans="6:6" x14ac:dyDescent="0.25">
      <c r="F1325"/>
    </row>
    <row r="1326" spans="6:6" x14ac:dyDescent="0.25">
      <c r="F1326"/>
    </row>
    <row r="1327" spans="6:6" x14ac:dyDescent="0.25">
      <c r="F1327"/>
    </row>
    <row r="1328" spans="6:6" x14ac:dyDescent="0.25">
      <c r="F1328"/>
    </row>
    <row r="1329" spans="6:6" x14ac:dyDescent="0.25">
      <c r="F1329"/>
    </row>
    <row r="1330" spans="6:6" x14ac:dyDescent="0.25">
      <c r="F1330"/>
    </row>
    <row r="1331" spans="6:6" x14ac:dyDescent="0.25">
      <c r="F1331"/>
    </row>
    <row r="1332" spans="6:6" x14ac:dyDescent="0.25">
      <c r="F1332"/>
    </row>
    <row r="1333" spans="6:6" x14ac:dyDescent="0.25">
      <c r="F1333"/>
    </row>
    <row r="1334" spans="6:6" x14ac:dyDescent="0.25">
      <c r="F1334"/>
    </row>
    <row r="1335" spans="6:6" x14ac:dyDescent="0.25">
      <c r="F1335"/>
    </row>
    <row r="1336" spans="6:6" x14ac:dyDescent="0.25">
      <c r="F1336"/>
    </row>
    <row r="1337" spans="6:6" x14ac:dyDescent="0.25">
      <c r="F1337"/>
    </row>
    <row r="1338" spans="6:6" x14ac:dyDescent="0.25">
      <c r="F1338"/>
    </row>
    <row r="1339" spans="6:6" x14ac:dyDescent="0.25">
      <c r="F1339"/>
    </row>
    <row r="1340" spans="6:6" x14ac:dyDescent="0.25">
      <c r="F1340"/>
    </row>
    <row r="1341" spans="6:6" x14ac:dyDescent="0.25">
      <c r="F1341"/>
    </row>
    <row r="1342" spans="6:6" x14ac:dyDescent="0.25">
      <c r="F1342"/>
    </row>
    <row r="1343" spans="6:6" x14ac:dyDescent="0.25">
      <c r="F1343"/>
    </row>
    <row r="1344" spans="6:6" x14ac:dyDescent="0.25">
      <c r="F1344"/>
    </row>
    <row r="1345" spans="6:6" x14ac:dyDescent="0.25">
      <c r="F1345"/>
    </row>
    <row r="1346" spans="6:6" x14ac:dyDescent="0.25">
      <c r="F1346"/>
    </row>
    <row r="1347" spans="6:6" x14ac:dyDescent="0.25">
      <c r="F1347"/>
    </row>
    <row r="1348" spans="6:6" x14ac:dyDescent="0.25">
      <c r="F1348"/>
    </row>
    <row r="1349" spans="6:6" x14ac:dyDescent="0.25">
      <c r="F1349"/>
    </row>
    <row r="1350" spans="6:6" x14ac:dyDescent="0.25">
      <c r="F1350"/>
    </row>
    <row r="1351" spans="6:6" x14ac:dyDescent="0.25">
      <c r="F1351"/>
    </row>
    <row r="1352" spans="6:6" x14ac:dyDescent="0.25">
      <c r="F1352"/>
    </row>
    <row r="1353" spans="6:6" x14ac:dyDescent="0.25">
      <c r="F1353"/>
    </row>
    <row r="1354" spans="6:6" x14ac:dyDescent="0.25">
      <c r="F1354"/>
    </row>
    <row r="1355" spans="6:6" x14ac:dyDescent="0.25">
      <c r="F1355"/>
    </row>
    <row r="1356" spans="6:6" x14ac:dyDescent="0.25">
      <c r="F1356"/>
    </row>
    <row r="1357" spans="6:6" x14ac:dyDescent="0.25">
      <c r="F1357"/>
    </row>
    <row r="1358" spans="6:6" x14ac:dyDescent="0.25">
      <c r="F1358"/>
    </row>
    <row r="1359" spans="6:6" x14ac:dyDescent="0.25">
      <c r="F1359"/>
    </row>
    <row r="1360" spans="6:6" x14ac:dyDescent="0.25">
      <c r="F1360"/>
    </row>
    <row r="1361" spans="6:6" x14ac:dyDescent="0.25">
      <c r="F1361"/>
    </row>
    <row r="1362" spans="6:6" x14ac:dyDescent="0.25">
      <c r="F1362"/>
    </row>
    <row r="1363" spans="6:6" x14ac:dyDescent="0.25">
      <c r="F1363"/>
    </row>
    <row r="1364" spans="6:6" x14ac:dyDescent="0.25">
      <c r="F1364"/>
    </row>
    <row r="1365" spans="6:6" x14ac:dyDescent="0.25">
      <c r="F1365"/>
    </row>
    <row r="1366" spans="6:6" x14ac:dyDescent="0.25">
      <c r="F1366"/>
    </row>
    <row r="1367" spans="6:6" x14ac:dyDescent="0.25">
      <c r="F1367"/>
    </row>
    <row r="1368" spans="6:6" x14ac:dyDescent="0.25">
      <c r="F1368"/>
    </row>
    <row r="1369" spans="6:6" x14ac:dyDescent="0.25">
      <c r="F1369"/>
    </row>
    <row r="1370" spans="6:6" x14ac:dyDescent="0.25">
      <c r="F1370"/>
    </row>
    <row r="1371" spans="6:6" x14ac:dyDescent="0.25">
      <c r="F1371"/>
    </row>
    <row r="1372" spans="6:6" x14ac:dyDescent="0.25">
      <c r="F1372"/>
    </row>
    <row r="1373" spans="6:6" x14ac:dyDescent="0.25">
      <c r="F1373"/>
    </row>
    <row r="1374" spans="6:6" x14ac:dyDescent="0.25">
      <c r="F1374"/>
    </row>
    <row r="1375" spans="6:6" x14ac:dyDescent="0.25">
      <c r="F1375"/>
    </row>
    <row r="1376" spans="6:6" x14ac:dyDescent="0.25">
      <c r="F1376"/>
    </row>
    <row r="1377" spans="6:6" x14ac:dyDescent="0.25">
      <c r="F1377"/>
    </row>
    <row r="1378" spans="6:6" x14ac:dyDescent="0.25">
      <c r="F1378"/>
    </row>
    <row r="1379" spans="6:6" x14ac:dyDescent="0.25">
      <c r="F1379"/>
    </row>
    <row r="1380" spans="6:6" x14ac:dyDescent="0.25">
      <c r="F1380"/>
    </row>
    <row r="1381" spans="6:6" x14ac:dyDescent="0.25">
      <c r="F1381"/>
    </row>
    <row r="1382" spans="6:6" x14ac:dyDescent="0.25">
      <c r="F1382"/>
    </row>
    <row r="1383" spans="6:6" x14ac:dyDescent="0.25">
      <c r="F1383"/>
    </row>
    <row r="1384" spans="6:6" x14ac:dyDescent="0.25">
      <c r="F1384"/>
    </row>
    <row r="1385" spans="6:6" x14ac:dyDescent="0.25">
      <c r="F1385"/>
    </row>
    <row r="1386" spans="6:6" x14ac:dyDescent="0.25">
      <c r="F1386"/>
    </row>
    <row r="1387" spans="6:6" x14ac:dyDescent="0.25">
      <c r="F1387"/>
    </row>
    <row r="1388" spans="6:6" x14ac:dyDescent="0.25">
      <c r="F1388"/>
    </row>
    <row r="1389" spans="6:6" x14ac:dyDescent="0.25">
      <c r="F1389"/>
    </row>
    <row r="1390" spans="6:6" x14ac:dyDescent="0.25">
      <c r="F1390"/>
    </row>
    <row r="1391" spans="6:6" x14ac:dyDescent="0.25">
      <c r="F1391"/>
    </row>
    <row r="1392" spans="6:6" x14ac:dyDescent="0.25">
      <c r="F1392"/>
    </row>
    <row r="1393" spans="6:6" x14ac:dyDescent="0.25">
      <c r="F1393"/>
    </row>
    <row r="1394" spans="6:6" x14ac:dyDescent="0.25">
      <c r="F1394"/>
    </row>
    <row r="1395" spans="6:6" x14ac:dyDescent="0.25">
      <c r="F1395"/>
    </row>
    <row r="1396" spans="6:6" x14ac:dyDescent="0.25">
      <c r="F1396"/>
    </row>
    <row r="1397" spans="6:6" x14ac:dyDescent="0.25">
      <c r="F1397"/>
    </row>
    <row r="1398" spans="6:6" x14ac:dyDescent="0.25">
      <c r="F1398"/>
    </row>
    <row r="1399" spans="6:6" x14ac:dyDescent="0.25">
      <c r="F1399"/>
    </row>
    <row r="1400" spans="6:6" x14ac:dyDescent="0.25">
      <c r="F1400"/>
    </row>
    <row r="1401" spans="6:6" x14ac:dyDescent="0.25">
      <c r="F1401"/>
    </row>
    <row r="1402" spans="6:6" x14ac:dyDescent="0.25">
      <c r="F1402"/>
    </row>
    <row r="1403" spans="6:6" x14ac:dyDescent="0.25">
      <c r="F1403"/>
    </row>
    <row r="1404" spans="6:6" x14ac:dyDescent="0.25">
      <c r="F1404"/>
    </row>
    <row r="1405" spans="6:6" x14ac:dyDescent="0.25">
      <c r="F1405"/>
    </row>
    <row r="1406" spans="6:6" x14ac:dyDescent="0.25">
      <c r="F1406"/>
    </row>
    <row r="1407" spans="6:6" x14ac:dyDescent="0.25">
      <c r="F1407"/>
    </row>
    <row r="1408" spans="6:6" x14ac:dyDescent="0.25">
      <c r="F1408"/>
    </row>
    <row r="1409" spans="6:6" x14ac:dyDescent="0.25">
      <c r="F1409"/>
    </row>
    <row r="1410" spans="6:6" x14ac:dyDescent="0.25">
      <c r="F1410"/>
    </row>
    <row r="1411" spans="6:6" x14ac:dyDescent="0.25">
      <c r="F1411"/>
    </row>
    <row r="1412" spans="6:6" x14ac:dyDescent="0.25">
      <c r="F1412"/>
    </row>
    <row r="1413" spans="6:6" x14ac:dyDescent="0.25">
      <c r="F1413"/>
    </row>
    <row r="1414" spans="6:6" x14ac:dyDescent="0.25">
      <c r="F1414"/>
    </row>
    <row r="1415" spans="6:6" x14ac:dyDescent="0.25">
      <c r="F1415"/>
    </row>
    <row r="1416" spans="6:6" x14ac:dyDescent="0.25">
      <c r="F1416"/>
    </row>
    <row r="1417" spans="6:6" x14ac:dyDescent="0.25">
      <c r="F1417"/>
    </row>
    <row r="1418" spans="6:6" x14ac:dyDescent="0.25">
      <c r="F1418"/>
    </row>
    <row r="1419" spans="6:6" x14ac:dyDescent="0.25">
      <c r="F1419"/>
    </row>
    <row r="1420" spans="6:6" x14ac:dyDescent="0.25">
      <c r="F1420"/>
    </row>
    <row r="1421" spans="6:6" x14ac:dyDescent="0.25">
      <c r="F1421"/>
    </row>
    <row r="1422" spans="6:6" x14ac:dyDescent="0.25">
      <c r="F1422"/>
    </row>
    <row r="1423" spans="6:6" x14ac:dyDescent="0.25">
      <c r="F1423"/>
    </row>
    <row r="1424" spans="6:6" x14ac:dyDescent="0.25">
      <c r="F1424"/>
    </row>
    <row r="1425" spans="6:6" x14ac:dyDescent="0.25">
      <c r="F1425"/>
    </row>
    <row r="1426" spans="6:6" x14ac:dyDescent="0.25">
      <c r="F1426"/>
    </row>
    <row r="1427" spans="6:6" x14ac:dyDescent="0.25">
      <c r="F1427"/>
    </row>
    <row r="1428" spans="6:6" x14ac:dyDescent="0.25">
      <c r="F1428"/>
    </row>
    <row r="1429" spans="6:6" x14ac:dyDescent="0.25">
      <c r="F1429"/>
    </row>
    <row r="1430" spans="6:6" x14ac:dyDescent="0.25">
      <c r="F1430"/>
    </row>
    <row r="1431" spans="6:6" x14ac:dyDescent="0.25">
      <c r="F1431"/>
    </row>
    <row r="1432" spans="6:6" x14ac:dyDescent="0.25">
      <c r="F1432"/>
    </row>
    <row r="1433" spans="6:6" x14ac:dyDescent="0.25">
      <c r="F1433"/>
    </row>
    <row r="1434" spans="6:6" x14ac:dyDescent="0.25">
      <c r="F1434"/>
    </row>
    <row r="1435" spans="6:6" x14ac:dyDescent="0.25">
      <c r="F1435"/>
    </row>
    <row r="1436" spans="6:6" x14ac:dyDescent="0.25">
      <c r="F1436"/>
    </row>
    <row r="1437" spans="6:6" x14ac:dyDescent="0.25">
      <c r="F1437"/>
    </row>
    <row r="1438" spans="6:6" x14ac:dyDescent="0.25">
      <c r="F1438"/>
    </row>
    <row r="1439" spans="6:6" x14ac:dyDescent="0.25">
      <c r="F1439"/>
    </row>
    <row r="1440" spans="6:6" x14ac:dyDescent="0.25">
      <c r="F1440"/>
    </row>
    <row r="1441" spans="6:6" x14ac:dyDescent="0.25">
      <c r="F1441"/>
    </row>
    <row r="1442" spans="6:6" x14ac:dyDescent="0.25">
      <c r="F1442"/>
    </row>
    <row r="1443" spans="6:6" x14ac:dyDescent="0.25">
      <c r="F1443"/>
    </row>
    <row r="1444" spans="6:6" x14ac:dyDescent="0.25">
      <c r="F1444"/>
    </row>
    <row r="1445" spans="6:6" x14ac:dyDescent="0.25">
      <c r="F1445"/>
    </row>
    <row r="1446" spans="6:6" x14ac:dyDescent="0.25">
      <c r="F1446"/>
    </row>
    <row r="1447" spans="6:6" x14ac:dyDescent="0.25">
      <c r="F1447"/>
    </row>
    <row r="1448" spans="6:6" x14ac:dyDescent="0.25">
      <c r="F1448"/>
    </row>
    <row r="1449" spans="6:6" x14ac:dyDescent="0.25">
      <c r="F1449"/>
    </row>
    <row r="1450" spans="6:6" x14ac:dyDescent="0.25">
      <c r="F1450"/>
    </row>
    <row r="1451" spans="6:6" x14ac:dyDescent="0.25">
      <c r="F1451"/>
    </row>
    <row r="1452" spans="6:6" x14ac:dyDescent="0.25">
      <c r="F1452"/>
    </row>
    <row r="1453" spans="6:6" x14ac:dyDescent="0.25">
      <c r="F1453"/>
    </row>
    <row r="1454" spans="6:6" x14ac:dyDescent="0.25">
      <c r="F1454"/>
    </row>
    <row r="1455" spans="6:6" x14ac:dyDescent="0.25">
      <c r="F1455"/>
    </row>
    <row r="1456" spans="6:6" x14ac:dyDescent="0.25">
      <c r="F1456"/>
    </row>
    <row r="1457" spans="6:6" x14ac:dyDescent="0.25">
      <c r="F1457"/>
    </row>
    <row r="1458" spans="6:6" x14ac:dyDescent="0.25">
      <c r="F1458"/>
    </row>
    <row r="1459" spans="6:6" x14ac:dyDescent="0.25">
      <c r="F1459"/>
    </row>
    <row r="1460" spans="6:6" x14ac:dyDescent="0.25">
      <c r="F1460"/>
    </row>
    <row r="1461" spans="6:6" x14ac:dyDescent="0.25">
      <c r="F1461"/>
    </row>
    <row r="1462" spans="6:6" x14ac:dyDescent="0.25">
      <c r="F1462"/>
    </row>
    <row r="1463" spans="6:6" x14ac:dyDescent="0.25">
      <c r="F1463"/>
    </row>
    <row r="1464" spans="6:6" x14ac:dyDescent="0.25">
      <c r="F1464"/>
    </row>
    <row r="1465" spans="6:6" x14ac:dyDescent="0.25">
      <c r="F1465"/>
    </row>
    <row r="1466" spans="6:6" x14ac:dyDescent="0.25">
      <c r="F1466"/>
    </row>
    <row r="1467" spans="6:6" x14ac:dyDescent="0.25">
      <c r="F1467"/>
    </row>
    <row r="1468" spans="6:6" x14ac:dyDescent="0.25">
      <c r="F1468"/>
    </row>
    <row r="1469" spans="6:6" x14ac:dyDescent="0.25">
      <c r="F1469"/>
    </row>
    <row r="1470" spans="6:6" x14ac:dyDescent="0.25">
      <c r="F1470"/>
    </row>
    <row r="1471" spans="6:6" x14ac:dyDescent="0.25">
      <c r="F1471"/>
    </row>
    <row r="1472" spans="6:6" x14ac:dyDescent="0.25">
      <c r="F1472"/>
    </row>
    <row r="1473" spans="6:6" x14ac:dyDescent="0.25">
      <c r="F1473"/>
    </row>
    <row r="1474" spans="6:6" x14ac:dyDescent="0.25">
      <c r="F1474"/>
    </row>
    <row r="1475" spans="6:6" x14ac:dyDescent="0.25">
      <c r="F1475"/>
    </row>
    <row r="1476" spans="6:6" x14ac:dyDescent="0.25">
      <c r="F1476"/>
    </row>
    <row r="1477" spans="6:6" x14ac:dyDescent="0.25">
      <c r="F1477"/>
    </row>
    <row r="1478" spans="6:6" x14ac:dyDescent="0.25">
      <c r="F1478"/>
    </row>
    <row r="1479" spans="6:6" x14ac:dyDescent="0.25">
      <c r="F1479"/>
    </row>
    <row r="1480" spans="6:6" x14ac:dyDescent="0.25">
      <c r="F1480"/>
    </row>
    <row r="1481" spans="6:6" x14ac:dyDescent="0.25">
      <c r="F1481"/>
    </row>
    <row r="1482" spans="6:6" x14ac:dyDescent="0.25">
      <c r="F1482"/>
    </row>
    <row r="1483" spans="6:6" x14ac:dyDescent="0.25">
      <c r="F1483"/>
    </row>
    <row r="1484" spans="6:6" x14ac:dyDescent="0.25">
      <c r="F1484"/>
    </row>
    <row r="1485" spans="6:6" x14ac:dyDescent="0.25">
      <c r="F1485"/>
    </row>
    <row r="1486" spans="6:6" x14ac:dyDescent="0.25">
      <c r="F1486"/>
    </row>
    <row r="1487" spans="6:6" x14ac:dyDescent="0.25">
      <c r="F1487"/>
    </row>
    <row r="1488" spans="6:6" x14ac:dyDescent="0.25">
      <c r="F1488"/>
    </row>
    <row r="1489" spans="6:6" x14ac:dyDescent="0.25">
      <c r="F1489"/>
    </row>
    <row r="1490" spans="6:6" x14ac:dyDescent="0.25">
      <c r="F1490"/>
    </row>
    <row r="1491" spans="6:6" x14ac:dyDescent="0.25">
      <c r="F1491"/>
    </row>
    <row r="1492" spans="6:6" x14ac:dyDescent="0.25">
      <c r="F1492"/>
    </row>
    <row r="1493" spans="6:6" x14ac:dyDescent="0.25">
      <c r="F1493"/>
    </row>
    <row r="1494" spans="6:6" x14ac:dyDescent="0.25">
      <c r="F1494"/>
    </row>
    <row r="1495" spans="6:6" x14ac:dyDescent="0.25">
      <c r="F1495"/>
    </row>
    <row r="1496" spans="6:6" x14ac:dyDescent="0.25">
      <c r="F1496"/>
    </row>
    <row r="1497" spans="6:6" x14ac:dyDescent="0.25">
      <c r="F1497"/>
    </row>
    <row r="1498" spans="6:6" x14ac:dyDescent="0.25">
      <c r="F1498"/>
    </row>
    <row r="1499" spans="6:6" x14ac:dyDescent="0.25">
      <c r="F1499"/>
    </row>
    <row r="1500" spans="6:6" x14ac:dyDescent="0.25">
      <c r="F1500"/>
    </row>
    <row r="1501" spans="6:6" x14ac:dyDescent="0.25">
      <c r="F1501"/>
    </row>
    <row r="1502" spans="6:6" x14ac:dyDescent="0.25">
      <c r="F1502"/>
    </row>
    <row r="1503" spans="6:6" x14ac:dyDescent="0.25">
      <c r="F1503"/>
    </row>
    <row r="1504" spans="6:6" x14ac:dyDescent="0.25">
      <c r="F1504"/>
    </row>
    <row r="1505" spans="6:6" x14ac:dyDescent="0.25">
      <c r="F1505"/>
    </row>
    <row r="1506" spans="6:6" x14ac:dyDescent="0.25">
      <c r="F1506"/>
    </row>
    <row r="1507" spans="6:6" x14ac:dyDescent="0.25">
      <c r="F1507"/>
    </row>
    <row r="1508" spans="6:6" x14ac:dyDescent="0.25">
      <c r="F1508"/>
    </row>
    <row r="1509" spans="6:6" x14ac:dyDescent="0.25">
      <c r="F1509"/>
    </row>
    <row r="1510" spans="6:6" x14ac:dyDescent="0.25">
      <c r="F1510"/>
    </row>
    <row r="1511" spans="6:6" x14ac:dyDescent="0.25">
      <c r="F1511"/>
    </row>
    <row r="1512" spans="6:6" x14ac:dyDescent="0.25">
      <c r="F1512"/>
    </row>
    <row r="1513" spans="6:6" x14ac:dyDescent="0.25">
      <c r="F1513"/>
    </row>
    <row r="1514" spans="6:6" x14ac:dyDescent="0.25">
      <c r="F1514"/>
    </row>
    <row r="1515" spans="6:6" x14ac:dyDescent="0.25">
      <c r="F1515"/>
    </row>
    <row r="1516" spans="6:6" x14ac:dyDescent="0.25">
      <c r="F1516"/>
    </row>
    <row r="1517" spans="6:6" x14ac:dyDescent="0.25">
      <c r="F1517"/>
    </row>
    <row r="1518" spans="6:6" x14ac:dyDescent="0.25">
      <c r="F1518"/>
    </row>
    <row r="1519" spans="6:6" x14ac:dyDescent="0.25">
      <c r="F1519"/>
    </row>
    <row r="1520" spans="6:6" x14ac:dyDescent="0.25">
      <c r="F1520"/>
    </row>
    <row r="1521" spans="6:6" x14ac:dyDescent="0.25">
      <c r="F1521"/>
    </row>
    <row r="1522" spans="6:6" x14ac:dyDescent="0.25">
      <c r="F1522"/>
    </row>
    <row r="1523" spans="6:6" x14ac:dyDescent="0.25">
      <c r="F1523"/>
    </row>
    <row r="1524" spans="6:6" x14ac:dyDescent="0.25">
      <c r="F1524"/>
    </row>
    <row r="1525" spans="6:6" x14ac:dyDescent="0.25">
      <c r="F1525"/>
    </row>
    <row r="1526" spans="6:6" x14ac:dyDescent="0.25">
      <c r="F1526"/>
    </row>
    <row r="1527" spans="6:6" x14ac:dyDescent="0.25">
      <c r="F1527"/>
    </row>
    <row r="1528" spans="6:6" x14ac:dyDescent="0.25">
      <c r="F1528"/>
    </row>
    <row r="1529" spans="6:6" x14ac:dyDescent="0.25">
      <c r="F1529"/>
    </row>
    <row r="1530" spans="6:6" x14ac:dyDescent="0.25">
      <c r="F1530"/>
    </row>
    <row r="1531" spans="6:6" x14ac:dyDescent="0.25">
      <c r="F1531"/>
    </row>
    <row r="1532" spans="6:6" x14ac:dyDescent="0.25">
      <c r="F1532"/>
    </row>
    <row r="1533" spans="6:6" x14ac:dyDescent="0.25">
      <c r="F1533"/>
    </row>
    <row r="1534" spans="6:6" x14ac:dyDescent="0.25">
      <c r="F1534"/>
    </row>
    <row r="1535" spans="6:6" x14ac:dyDescent="0.25">
      <c r="F1535"/>
    </row>
    <row r="1536" spans="6:6" x14ac:dyDescent="0.25">
      <c r="F1536"/>
    </row>
    <row r="1537" spans="6:6" x14ac:dyDescent="0.25">
      <c r="F1537"/>
    </row>
    <row r="1538" spans="6:6" x14ac:dyDescent="0.25">
      <c r="F1538"/>
    </row>
    <row r="1539" spans="6:6" x14ac:dyDescent="0.25">
      <c r="F1539"/>
    </row>
    <row r="1540" spans="6:6" x14ac:dyDescent="0.25">
      <c r="F1540"/>
    </row>
    <row r="1541" spans="6:6" x14ac:dyDescent="0.25">
      <c r="F1541"/>
    </row>
    <row r="1542" spans="6:6" x14ac:dyDescent="0.25">
      <c r="F1542"/>
    </row>
    <row r="1543" spans="6:6" x14ac:dyDescent="0.25">
      <c r="F1543"/>
    </row>
    <row r="1544" spans="6:6" x14ac:dyDescent="0.25">
      <c r="F1544"/>
    </row>
    <row r="1545" spans="6:6" x14ac:dyDescent="0.25">
      <c r="F1545"/>
    </row>
    <row r="1546" spans="6:6" x14ac:dyDescent="0.25">
      <c r="F1546"/>
    </row>
    <row r="1547" spans="6:6" x14ac:dyDescent="0.25">
      <c r="F1547"/>
    </row>
    <row r="1548" spans="6:6" x14ac:dyDescent="0.25">
      <c r="F1548"/>
    </row>
    <row r="1549" spans="6:6" x14ac:dyDescent="0.25">
      <c r="F1549"/>
    </row>
    <row r="1550" spans="6:6" x14ac:dyDescent="0.25">
      <c r="F1550"/>
    </row>
    <row r="1551" spans="6:6" x14ac:dyDescent="0.25">
      <c r="F1551"/>
    </row>
    <row r="1552" spans="6:6" x14ac:dyDescent="0.25">
      <c r="F1552"/>
    </row>
    <row r="1553" spans="6:6" x14ac:dyDescent="0.25">
      <c r="F1553"/>
    </row>
    <row r="1554" spans="6:6" x14ac:dyDescent="0.25">
      <c r="F1554"/>
    </row>
    <row r="1555" spans="6:6" x14ac:dyDescent="0.25">
      <c r="F1555"/>
    </row>
    <row r="1556" spans="6:6" x14ac:dyDescent="0.25">
      <c r="F1556"/>
    </row>
    <row r="1557" spans="6:6" x14ac:dyDescent="0.25">
      <c r="F1557"/>
    </row>
    <row r="1558" spans="6:6" x14ac:dyDescent="0.25">
      <c r="F1558"/>
    </row>
    <row r="1559" spans="6:6" x14ac:dyDescent="0.25">
      <c r="F1559"/>
    </row>
    <row r="1560" spans="6:6" x14ac:dyDescent="0.25">
      <c r="F1560"/>
    </row>
    <row r="1561" spans="6:6" x14ac:dyDescent="0.25">
      <c r="F1561"/>
    </row>
    <row r="1562" spans="6:6" x14ac:dyDescent="0.25">
      <c r="F1562"/>
    </row>
    <row r="1563" spans="6:6" x14ac:dyDescent="0.25">
      <c r="F1563"/>
    </row>
    <row r="1564" spans="6:6" x14ac:dyDescent="0.25">
      <c r="F1564"/>
    </row>
    <row r="1565" spans="6:6" x14ac:dyDescent="0.25">
      <c r="F1565"/>
    </row>
    <row r="1566" spans="6:6" x14ac:dyDescent="0.25">
      <c r="F1566"/>
    </row>
    <row r="1567" spans="6:6" x14ac:dyDescent="0.25">
      <c r="F1567"/>
    </row>
    <row r="1568" spans="6:6" x14ac:dyDescent="0.25">
      <c r="F1568"/>
    </row>
    <row r="1569" spans="6:6" x14ac:dyDescent="0.25">
      <c r="F1569"/>
    </row>
    <row r="1570" spans="6:6" x14ac:dyDescent="0.25">
      <c r="F1570"/>
    </row>
    <row r="1571" spans="6:6" x14ac:dyDescent="0.25">
      <c r="F1571"/>
    </row>
    <row r="1572" spans="6:6" x14ac:dyDescent="0.25">
      <c r="F1572"/>
    </row>
    <row r="1573" spans="6:6" x14ac:dyDescent="0.25">
      <c r="F1573"/>
    </row>
    <row r="1574" spans="6:6" x14ac:dyDescent="0.25">
      <c r="F1574"/>
    </row>
    <row r="1575" spans="6:6" x14ac:dyDescent="0.25">
      <c r="F1575"/>
    </row>
    <row r="1576" spans="6:6" x14ac:dyDescent="0.25">
      <c r="F1576"/>
    </row>
    <row r="1577" spans="6:6" x14ac:dyDescent="0.25">
      <c r="F1577"/>
    </row>
    <row r="1578" spans="6:6" x14ac:dyDescent="0.25">
      <c r="F1578"/>
    </row>
    <row r="1579" spans="6:6" x14ac:dyDescent="0.25">
      <c r="F1579"/>
    </row>
    <row r="1580" spans="6:6" x14ac:dyDescent="0.25">
      <c r="F1580"/>
    </row>
    <row r="1581" spans="6:6" x14ac:dyDescent="0.25">
      <c r="F1581"/>
    </row>
    <row r="1582" spans="6:6" x14ac:dyDescent="0.25">
      <c r="F1582"/>
    </row>
    <row r="1583" spans="6:6" x14ac:dyDescent="0.25">
      <c r="F1583"/>
    </row>
    <row r="1584" spans="6:6" x14ac:dyDescent="0.25">
      <c r="F1584"/>
    </row>
    <row r="1585" spans="6:6" x14ac:dyDescent="0.25">
      <c r="F1585"/>
    </row>
    <row r="1586" spans="6:6" x14ac:dyDescent="0.25">
      <c r="F1586"/>
    </row>
    <row r="1587" spans="6:6" x14ac:dyDescent="0.25">
      <c r="F1587"/>
    </row>
    <row r="1588" spans="6:6" x14ac:dyDescent="0.25">
      <c r="F1588"/>
    </row>
    <row r="1589" spans="6:6" x14ac:dyDescent="0.25">
      <c r="F1589"/>
    </row>
    <row r="1590" spans="6:6" x14ac:dyDescent="0.25">
      <c r="F1590"/>
    </row>
    <row r="1591" spans="6:6" x14ac:dyDescent="0.25">
      <c r="F1591"/>
    </row>
    <row r="1592" spans="6:6" x14ac:dyDescent="0.25">
      <c r="F1592"/>
    </row>
    <row r="1593" spans="6:6" x14ac:dyDescent="0.25">
      <c r="F1593"/>
    </row>
    <row r="1594" spans="6:6" x14ac:dyDescent="0.25">
      <c r="F1594"/>
    </row>
    <row r="1595" spans="6:6" x14ac:dyDescent="0.25">
      <c r="F1595"/>
    </row>
    <row r="1596" spans="6:6" x14ac:dyDescent="0.25">
      <c r="F1596"/>
    </row>
    <row r="1597" spans="6:6" x14ac:dyDescent="0.25">
      <c r="F1597"/>
    </row>
    <row r="1598" spans="6:6" x14ac:dyDescent="0.25">
      <c r="F1598"/>
    </row>
    <row r="1599" spans="6:6" x14ac:dyDescent="0.25">
      <c r="F1599"/>
    </row>
    <row r="1600" spans="6:6" x14ac:dyDescent="0.25">
      <c r="F1600"/>
    </row>
    <row r="1601" spans="6:6" x14ac:dyDescent="0.25">
      <c r="F1601"/>
    </row>
    <row r="1602" spans="6:6" x14ac:dyDescent="0.25">
      <c r="F1602"/>
    </row>
    <row r="1603" spans="6:6" x14ac:dyDescent="0.25">
      <c r="F1603"/>
    </row>
    <row r="1604" spans="6:6" x14ac:dyDescent="0.25">
      <c r="F1604"/>
    </row>
    <row r="1605" spans="6:6" x14ac:dyDescent="0.25">
      <c r="F1605"/>
    </row>
    <row r="1606" spans="6:6" x14ac:dyDescent="0.25">
      <c r="F1606"/>
    </row>
    <row r="1607" spans="6:6" x14ac:dyDescent="0.25">
      <c r="F1607"/>
    </row>
    <row r="1608" spans="6:6" x14ac:dyDescent="0.25">
      <c r="F1608"/>
    </row>
    <row r="1609" spans="6:6" x14ac:dyDescent="0.25">
      <c r="F1609"/>
    </row>
    <row r="1610" spans="6:6" x14ac:dyDescent="0.25">
      <c r="F1610"/>
    </row>
    <row r="1611" spans="6:6" x14ac:dyDescent="0.25">
      <c r="F1611"/>
    </row>
    <row r="1612" spans="6:6" x14ac:dyDescent="0.25">
      <c r="F1612"/>
    </row>
    <row r="1613" spans="6:6" x14ac:dyDescent="0.25">
      <c r="F1613"/>
    </row>
    <row r="1614" spans="6:6" x14ac:dyDescent="0.25">
      <c r="F1614"/>
    </row>
    <row r="1615" spans="6:6" x14ac:dyDescent="0.25">
      <c r="F1615"/>
    </row>
    <row r="1616" spans="6:6" x14ac:dyDescent="0.25">
      <c r="F1616"/>
    </row>
    <row r="1617" spans="6:6" x14ac:dyDescent="0.25">
      <c r="F1617"/>
    </row>
    <row r="1618" spans="6:6" x14ac:dyDescent="0.25">
      <c r="F1618"/>
    </row>
    <row r="1619" spans="6:6" x14ac:dyDescent="0.25">
      <c r="F1619"/>
    </row>
    <row r="1620" spans="6:6" x14ac:dyDescent="0.25">
      <c r="F1620"/>
    </row>
    <row r="1621" spans="6:6" x14ac:dyDescent="0.25">
      <c r="F1621"/>
    </row>
    <row r="1622" spans="6:6" x14ac:dyDescent="0.25">
      <c r="F1622"/>
    </row>
    <row r="1623" spans="6:6" x14ac:dyDescent="0.25">
      <c r="F1623"/>
    </row>
    <row r="1624" spans="6:6" x14ac:dyDescent="0.25">
      <c r="F1624"/>
    </row>
    <row r="1625" spans="6:6" x14ac:dyDescent="0.25">
      <c r="F1625"/>
    </row>
    <row r="1626" spans="6:6" x14ac:dyDescent="0.25">
      <c r="F1626"/>
    </row>
    <row r="1627" spans="6:6" x14ac:dyDescent="0.25">
      <c r="F1627"/>
    </row>
    <row r="1628" spans="6:6" x14ac:dyDescent="0.25">
      <c r="F1628"/>
    </row>
    <row r="1629" spans="6:6" x14ac:dyDescent="0.25">
      <c r="F1629"/>
    </row>
    <row r="1630" spans="6:6" x14ac:dyDescent="0.25">
      <c r="F1630"/>
    </row>
    <row r="1631" spans="6:6" x14ac:dyDescent="0.25">
      <c r="F1631"/>
    </row>
    <row r="1632" spans="6:6" x14ac:dyDescent="0.25">
      <c r="F1632"/>
    </row>
    <row r="1633" spans="6:6" x14ac:dyDescent="0.25">
      <c r="F1633"/>
    </row>
    <row r="1634" spans="6:6" x14ac:dyDescent="0.25">
      <c r="F1634"/>
    </row>
    <row r="1635" spans="6:6" x14ac:dyDescent="0.25">
      <c r="F1635"/>
    </row>
    <row r="1636" spans="6:6" x14ac:dyDescent="0.25">
      <c r="F1636"/>
    </row>
    <row r="1637" spans="6:6" x14ac:dyDescent="0.25">
      <c r="F1637"/>
    </row>
    <row r="1638" spans="6:6" x14ac:dyDescent="0.25">
      <c r="F1638"/>
    </row>
    <row r="1639" spans="6:6" x14ac:dyDescent="0.25">
      <c r="F1639"/>
    </row>
    <row r="1640" spans="6:6" x14ac:dyDescent="0.25">
      <c r="F1640"/>
    </row>
    <row r="1641" spans="6:6" x14ac:dyDescent="0.25">
      <c r="F1641"/>
    </row>
    <row r="1642" spans="6:6" x14ac:dyDescent="0.25">
      <c r="F1642"/>
    </row>
    <row r="1643" spans="6:6" x14ac:dyDescent="0.25">
      <c r="F1643"/>
    </row>
    <row r="1644" spans="6:6" x14ac:dyDescent="0.25">
      <c r="F1644"/>
    </row>
    <row r="1645" spans="6:6" x14ac:dyDescent="0.25">
      <c r="F1645"/>
    </row>
    <row r="1646" spans="6:6" x14ac:dyDescent="0.25">
      <c r="F1646"/>
    </row>
    <row r="1647" spans="6:6" x14ac:dyDescent="0.25">
      <c r="F1647"/>
    </row>
    <row r="1648" spans="6:6" x14ac:dyDescent="0.25">
      <c r="F1648"/>
    </row>
    <row r="1649" spans="6:6" x14ac:dyDescent="0.25">
      <c r="F1649"/>
    </row>
    <row r="1650" spans="6:6" x14ac:dyDescent="0.25">
      <c r="F1650"/>
    </row>
    <row r="1651" spans="6:6" x14ac:dyDescent="0.25">
      <c r="F1651"/>
    </row>
    <row r="1652" spans="6:6" x14ac:dyDescent="0.25">
      <c r="F1652"/>
    </row>
    <row r="1653" spans="6:6" x14ac:dyDescent="0.25">
      <c r="F1653"/>
    </row>
    <row r="1654" spans="6:6" x14ac:dyDescent="0.25">
      <c r="F1654"/>
    </row>
    <row r="1655" spans="6:6" x14ac:dyDescent="0.25">
      <c r="F1655"/>
    </row>
    <row r="1656" spans="6:6" x14ac:dyDescent="0.25">
      <c r="F1656"/>
    </row>
    <row r="1657" spans="6:6" x14ac:dyDescent="0.25">
      <c r="F1657"/>
    </row>
    <row r="1658" spans="6:6" x14ac:dyDescent="0.25">
      <c r="F1658"/>
    </row>
    <row r="1659" spans="6:6" x14ac:dyDescent="0.25">
      <c r="F1659"/>
    </row>
    <row r="1660" spans="6:6" x14ac:dyDescent="0.25">
      <c r="F1660"/>
    </row>
    <row r="1661" spans="6:6" x14ac:dyDescent="0.25">
      <c r="F1661"/>
    </row>
    <row r="1662" spans="6:6" x14ac:dyDescent="0.25">
      <c r="F1662"/>
    </row>
    <row r="1663" spans="6:6" x14ac:dyDescent="0.25">
      <c r="F1663"/>
    </row>
    <row r="1664" spans="6:6" x14ac:dyDescent="0.25">
      <c r="F1664"/>
    </row>
    <row r="1665" spans="6:6" x14ac:dyDescent="0.25">
      <c r="F1665"/>
    </row>
    <row r="1666" spans="6:6" x14ac:dyDescent="0.25">
      <c r="F1666"/>
    </row>
    <row r="1667" spans="6:6" x14ac:dyDescent="0.25">
      <c r="F1667"/>
    </row>
    <row r="1668" spans="6:6" x14ac:dyDescent="0.25">
      <c r="F1668"/>
    </row>
    <row r="1669" spans="6:6" x14ac:dyDescent="0.25">
      <c r="F1669"/>
    </row>
    <row r="1670" spans="6:6" x14ac:dyDescent="0.25">
      <c r="F1670"/>
    </row>
    <row r="1671" spans="6:6" x14ac:dyDescent="0.25">
      <c r="F1671"/>
    </row>
    <row r="1672" spans="6:6" x14ac:dyDescent="0.25">
      <c r="F1672"/>
    </row>
    <row r="1673" spans="6:6" x14ac:dyDescent="0.25">
      <c r="F1673"/>
    </row>
    <row r="1674" spans="6:6" x14ac:dyDescent="0.25">
      <c r="F1674"/>
    </row>
    <row r="1675" spans="6:6" x14ac:dyDescent="0.25">
      <c r="F1675"/>
    </row>
    <row r="1676" spans="6:6" x14ac:dyDescent="0.25">
      <c r="F1676"/>
    </row>
    <row r="1677" spans="6:6" x14ac:dyDescent="0.25">
      <c r="F1677"/>
    </row>
    <row r="1678" spans="6:6" x14ac:dyDescent="0.25">
      <c r="F1678"/>
    </row>
    <row r="1679" spans="6:6" x14ac:dyDescent="0.25">
      <c r="F1679"/>
    </row>
    <row r="1680" spans="6:6" x14ac:dyDescent="0.25">
      <c r="F1680"/>
    </row>
    <row r="1681" spans="6:6" x14ac:dyDescent="0.25">
      <c r="F1681"/>
    </row>
    <row r="1682" spans="6:6" x14ac:dyDescent="0.25">
      <c r="F1682"/>
    </row>
    <row r="1683" spans="6:6" x14ac:dyDescent="0.25">
      <c r="F1683"/>
    </row>
    <row r="1684" spans="6:6" x14ac:dyDescent="0.25">
      <c r="F1684"/>
    </row>
    <row r="1685" spans="6:6" x14ac:dyDescent="0.25">
      <c r="F1685"/>
    </row>
    <row r="1686" spans="6:6" x14ac:dyDescent="0.25">
      <c r="F1686"/>
    </row>
    <row r="1687" spans="6:6" x14ac:dyDescent="0.25">
      <c r="F1687"/>
    </row>
    <row r="1688" spans="6:6" x14ac:dyDescent="0.25">
      <c r="F1688"/>
    </row>
    <row r="1689" spans="6:6" x14ac:dyDescent="0.25">
      <c r="F1689"/>
    </row>
    <row r="1690" spans="6:6" x14ac:dyDescent="0.25">
      <c r="F1690"/>
    </row>
    <row r="1691" spans="6:6" x14ac:dyDescent="0.25">
      <c r="F1691"/>
    </row>
    <row r="1692" spans="6:6" x14ac:dyDescent="0.25">
      <c r="F1692"/>
    </row>
    <row r="1693" spans="6:6" x14ac:dyDescent="0.25">
      <c r="F1693"/>
    </row>
    <row r="1694" spans="6:6" x14ac:dyDescent="0.25">
      <c r="F1694"/>
    </row>
    <row r="1695" spans="6:6" x14ac:dyDescent="0.25">
      <c r="F1695"/>
    </row>
    <row r="1696" spans="6:6" x14ac:dyDescent="0.25">
      <c r="F1696"/>
    </row>
    <row r="1697" spans="6:6" x14ac:dyDescent="0.25">
      <c r="F1697"/>
    </row>
    <row r="1698" spans="6:6" x14ac:dyDescent="0.25">
      <c r="F1698"/>
    </row>
    <row r="1699" spans="6:6" x14ac:dyDescent="0.25">
      <c r="F1699"/>
    </row>
    <row r="1700" spans="6:6" x14ac:dyDescent="0.25">
      <c r="F1700"/>
    </row>
    <row r="1701" spans="6:6" x14ac:dyDescent="0.25">
      <c r="F1701"/>
    </row>
    <row r="1702" spans="6:6" x14ac:dyDescent="0.25">
      <c r="F1702"/>
    </row>
    <row r="1703" spans="6:6" x14ac:dyDescent="0.25">
      <c r="F1703"/>
    </row>
    <row r="1704" spans="6:6" x14ac:dyDescent="0.25">
      <c r="F1704"/>
    </row>
    <row r="1705" spans="6:6" x14ac:dyDescent="0.25">
      <c r="F1705"/>
    </row>
    <row r="1706" spans="6:6" x14ac:dyDescent="0.25">
      <c r="F1706"/>
    </row>
    <row r="1707" spans="6:6" x14ac:dyDescent="0.25">
      <c r="F1707"/>
    </row>
    <row r="1708" spans="6:6" x14ac:dyDescent="0.25">
      <c r="F1708"/>
    </row>
    <row r="1709" spans="6:6" x14ac:dyDescent="0.25">
      <c r="F1709"/>
    </row>
    <row r="1710" spans="6:6" x14ac:dyDescent="0.25">
      <c r="F1710"/>
    </row>
    <row r="1711" spans="6:6" x14ac:dyDescent="0.25">
      <c r="F1711"/>
    </row>
    <row r="1712" spans="6:6" x14ac:dyDescent="0.25">
      <c r="F1712"/>
    </row>
    <row r="1713" spans="6:6" x14ac:dyDescent="0.25">
      <c r="F1713"/>
    </row>
    <row r="1714" spans="6:6" x14ac:dyDescent="0.25">
      <c r="F1714"/>
    </row>
    <row r="1715" spans="6:6" x14ac:dyDescent="0.25">
      <c r="F1715"/>
    </row>
    <row r="1716" spans="6:6" x14ac:dyDescent="0.25">
      <c r="F1716"/>
    </row>
    <row r="1717" spans="6:6" x14ac:dyDescent="0.25">
      <c r="F1717"/>
    </row>
    <row r="1718" spans="6:6" x14ac:dyDescent="0.25">
      <c r="F1718"/>
    </row>
    <row r="1719" spans="6:6" x14ac:dyDescent="0.25">
      <c r="F1719"/>
    </row>
    <row r="1720" spans="6:6" x14ac:dyDescent="0.25">
      <c r="F1720"/>
    </row>
    <row r="1721" spans="6:6" x14ac:dyDescent="0.25">
      <c r="F1721"/>
    </row>
    <row r="1722" spans="6:6" x14ac:dyDescent="0.25">
      <c r="F1722"/>
    </row>
    <row r="1723" spans="6:6" x14ac:dyDescent="0.25">
      <c r="F1723"/>
    </row>
    <row r="1724" spans="6:6" x14ac:dyDescent="0.25">
      <c r="F1724"/>
    </row>
    <row r="1725" spans="6:6" x14ac:dyDescent="0.25">
      <c r="F1725"/>
    </row>
    <row r="1726" spans="6:6" x14ac:dyDescent="0.25">
      <c r="F1726"/>
    </row>
    <row r="1727" spans="6:6" x14ac:dyDescent="0.25">
      <c r="F1727"/>
    </row>
    <row r="1728" spans="6:6" x14ac:dyDescent="0.25">
      <c r="F1728"/>
    </row>
    <row r="1729" spans="6:6" x14ac:dyDescent="0.25">
      <c r="F1729"/>
    </row>
    <row r="1730" spans="6:6" x14ac:dyDescent="0.25">
      <c r="F1730"/>
    </row>
    <row r="1731" spans="6:6" x14ac:dyDescent="0.25">
      <c r="F1731"/>
    </row>
    <row r="1732" spans="6:6" x14ac:dyDescent="0.25">
      <c r="F1732"/>
    </row>
    <row r="1733" spans="6:6" x14ac:dyDescent="0.25">
      <c r="F1733"/>
    </row>
    <row r="1734" spans="6:6" x14ac:dyDescent="0.25">
      <c r="F1734"/>
    </row>
    <row r="1735" spans="6:6" x14ac:dyDescent="0.25">
      <c r="F1735"/>
    </row>
    <row r="1736" spans="6:6" x14ac:dyDescent="0.25">
      <c r="F1736"/>
    </row>
    <row r="1737" spans="6:6" x14ac:dyDescent="0.25">
      <c r="F1737"/>
    </row>
    <row r="1738" spans="6:6" x14ac:dyDescent="0.25">
      <c r="F1738"/>
    </row>
    <row r="1739" spans="6:6" x14ac:dyDescent="0.25">
      <c r="F1739"/>
    </row>
    <row r="1740" spans="6:6" x14ac:dyDescent="0.25">
      <c r="F1740"/>
    </row>
    <row r="1741" spans="6:6" x14ac:dyDescent="0.25">
      <c r="F1741"/>
    </row>
    <row r="1742" spans="6:6" x14ac:dyDescent="0.25">
      <c r="F1742"/>
    </row>
    <row r="1743" spans="6:6" x14ac:dyDescent="0.25">
      <c r="F1743"/>
    </row>
    <row r="1744" spans="6:6" x14ac:dyDescent="0.25">
      <c r="F1744"/>
    </row>
    <row r="1745" spans="6:6" x14ac:dyDescent="0.25">
      <c r="F1745"/>
    </row>
    <row r="1746" spans="6:6" x14ac:dyDescent="0.25">
      <c r="F1746"/>
    </row>
    <row r="1747" spans="6:6" x14ac:dyDescent="0.25">
      <c r="F1747"/>
    </row>
    <row r="1748" spans="6:6" x14ac:dyDescent="0.25">
      <c r="F1748"/>
    </row>
    <row r="1749" spans="6:6" x14ac:dyDescent="0.25">
      <c r="F1749"/>
    </row>
    <row r="1750" spans="6:6" x14ac:dyDescent="0.25">
      <c r="F1750"/>
    </row>
    <row r="1751" spans="6:6" x14ac:dyDescent="0.25">
      <c r="F1751"/>
    </row>
    <row r="1752" spans="6:6" x14ac:dyDescent="0.25">
      <c r="F1752"/>
    </row>
    <row r="1753" spans="6:6" x14ac:dyDescent="0.25">
      <c r="F1753"/>
    </row>
    <row r="1754" spans="6:6" x14ac:dyDescent="0.25">
      <c r="F1754"/>
    </row>
    <row r="1755" spans="6:6" x14ac:dyDescent="0.25">
      <c r="F1755"/>
    </row>
    <row r="1756" spans="6:6" x14ac:dyDescent="0.25">
      <c r="F1756"/>
    </row>
    <row r="1757" spans="6:6" x14ac:dyDescent="0.25">
      <c r="F1757"/>
    </row>
    <row r="1758" spans="6:6" x14ac:dyDescent="0.25">
      <c r="F175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42DCB-3AD8-4AED-B9D1-68A3890FA564}">
  <dimension ref="A1:BQ1758"/>
  <sheetViews>
    <sheetView tabSelected="1" topLeftCell="A382" zoomScale="80" zoomScaleNormal="80" workbookViewId="0">
      <selection activeCell="G2" sqref="G2:G420"/>
    </sheetView>
  </sheetViews>
  <sheetFormatPr baseColWidth="10" defaultColWidth="12.140625" defaultRowHeight="15" x14ac:dyDescent="0.25"/>
  <cols>
    <col min="1" max="2" width="12.140625" style="19"/>
    <col min="3" max="3" width="115.85546875" bestFit="1" customWidth="1"/>
    <col min="4" max="4" width="21.5703125" customWidth="1"/>
    <col min="5" max="5" width="12.140625" style="20"/>
    <col min="7" max="7" width="49.7109375" customWidth="1"/>
    <col min="8" max="8" width="60.42578125" customWidth="1"/>
    <col min="9" max="9" width="26.28515625" customWidth="1"/>
    <col min="10" max="10" width="21" customWidth="1"/>
    <col min="12" max="12" width="109.140625" customWidth="1"/>
  </cols>
  <sheetData>
    <row r="1" spans="1:13" x14ac:dyDescent="0.25">
      <c r="A1" s="7" t="s">
        <v>0</v>
      </c>
      <c r="B1" s="8" t="s">
        <v>422</v>
      </c>
      <c r="C1" s="7" t="s">
        <v>1</v>
      </c>
      <c r="D1" t="s">
        <v>1276</v>
      </c>
      <c r="E1" t="s">
        <v>1275</v>
      </c>
      <c r="G1" t="s">
        <v>1710</v>
      </c>
      <c r="H1" t="s">
        <v>1277</v>
      </c>
      <c r="I1" t="s">
        <v>1709</v>
      </c>
      <c r="J1" t="s">
        <v>1708</v>
      </c>
    </row>
    <row r="2" spans="1:13" x14ac:dyDescent="0.25">
      <c r="A2" s="9">
        <v>1</v>
      </c>
      <c r="B2" s="9">
        <v>2</v>
      </c>
      <c r="C2" s="10" t="s">
        <v>423</v>
      </c>
      <c r="D2" t="str">
        <f>+_xlfn.XLOOKUP(B2,polaris!$B$2:$B$785,polaris!$D$2:$D$785)</f>
        <v>METEOROLÓGICA</v>
      </c>
      <c r="E2"/>
      <c r="F2" s="26">
        <v>23195240</v>
      </c>
      <c r="G2" s="26" t="str" cm="1">
        <f t="array" ref="G2">+_xlfn.XLOOKUP(C2,Hoja1!$E$2:$E$420,Tabla1[Nombre])</f>
        <v>AGUACHICA - AUT [23195240]</v>
      </c>
      <c r="H2" t="str">
        <f>+_xlfn.XLOOKUP(F2,Tabla1[Codigo],Tabla1[Nombre])</f>
        <v>AGUACHICA - AUT [23195240]</v>
      </c>
      <c r="I2" t="str">
        <f>+_xlfn.XLOOKUP(F2,Hoja5!$C$2:$C$420,Hoja5!$G$2:$G$420)</f>
        <v>EN LINEA</v>
      </c>
      <c r="J2" t="str" cm="1">
        <f t="array" ref="J2">+_xlfn.XLOOKUP(F2,Hoja5!$C$2:$C$420,Hoja5!$H$2:H$420)</f>
        <v>GPRS</v>
      </c>
      <c r="L2" t="str">
        <f>+_xlfn.XLOOKUP(B2,polaris!$B$2:$B$785,polaris!$C$2:$C$785)</f>
        <v>AGUACHICA - AUT [23195240; AO 08; MET; GPRS; FONDO ADAPTACION]</v>
      </c>
      <c r="M2" t="b">
        <f>+L2=C2</f>
        <v>1</v>
      </c>
    </row>
    <row r="3" spans="1:13" x14ac:dyDescent="0.25">
      <c r="A3" s="9">
        <v>2</v>
      </c>
      <c r="B3" s="9">
        <v>3</v>
      </c>
      <c r="C3" s="10" t="s">
        <v>424</v>
      </c>
      <c r="D3" t="str">
        <f>+_xlfn.XLOOKUP(B3,polaris!$B$2:$B$785,polaris!$D$2:$D$785)</f>
        <v>METEOROLÓGICA</v>
      </c>
      <c r="E3"/>
      <c r="F3" s="26">
        <v>16055120</v>
      </c>
      <c r="G3" s="26" t="str" cm="1">
        <f t="array" ref="G3">+_xlfn.XLOOKUP(C3,Hoja1!$E$2:$E$420,Tabla1[Nombre])</f>
        <v>AGUAS DE LA VIRGEN  - AUT [16055120]</v>
      </c>
      <c r="H3" t="str">
        <f>+_xlfn.XLOOKUP(F3,Tabla1[Codigo],Tabla1[Nombre])</f>
        <v>AGUAS DE LA VIRGEN  - AUT [16055120]</v>
      </c>
      <c r="I3" t="str">
        <f>+_xlfn.XLOOKUP(F3,Hoja5!$C$2:$C$420,Hoja5!$G$2:$G$420)</f>
        <v>EN LINEA</v>
      </c>
      <c r="J3" t="str" cm="1">
        <f t="array" ref="J3">+_xlfn.XLOOKUP(F3,Hoja5!$C$2:$C$420,Hoja5!$H$2:H$420)</f>
        <v>GPRS</v>
      </c>
      <c r="L3" t="str">
        <f>+_xlfn.XLOOKUP(B3,polaris!$B$2:$B$785,polaris!$C$2:$C$785)</f>
        <v>AGUAS DE LA VIRGEN  - AUT [16055120; AO 08; MET; GPRS; FONDO ADAPTACION]</v>
      </c>
      <c r="M3" t="b">
        <f t="shared" ref="M3:M66" si="0">+L3=C3</f>
        <v>1</v>
      </c>
    </row>
    <row r="4" spans="1:13" x14ac:dyDescent="0.25">
      <c r="A4" s="9">
        <v>3</v>
      </c>
      <c r="B4" s="9">
        <v>4</v>
      </c>
      <c r="C4" s="10" t="s">
        <v>425</v>
      </c>
      <c r="D4" t="str">
        <f>+_xlfn.XLOOKUP(B4,polaris!$B$2:$B$785,polaris!$D$2:$D$785)</f>
        <v>METEOROLÓGICA</v>
      </c>
      <c r="E4"/>
      <c r="F4" s="26">
        <v>16015130</v>
      </c>
      <c r="G4" s="26" t="str" cm="1">
        <f t="array" ref="G4">+_xlfn.XLOOKUP(C4,Hoja1!$E$2:$E$420,Tabla1[Nombre])</f>
        <v>ALCALDIA DE HERRAN  - AUT [16015130]</v>
      </c>
      <c r="H4" t="str">
        <f>+_xlfn.XLOOKUP(F4,Tabla1[Codigo],Tabla1[Nombre])</f>
        <v>ALCALDIA DE HERRAN  - AUT [16015130]</v>
      </c>
      <c r="I4" t="str">
        <f>+_xlfn.XLOOKUP(F4,Hoja5!$C$2:$C$420,Hoja5!$G$2:$G$420)</f>
        <v>EN LINEA</v>
      </c>
      <c r="J4" t="str" cm="1">
        <f t="array" ref="J4">+_xlfn.XLOOKUP(F4,Hoja5!$C$2:$C$420,Hoja5!$H$2:H$420)</f>
        <v>GPRS</v>
      </c>
      <c r="L4" t="str">
        <f>+_xlfn.XLOOKUP(B4,polaris!$B$2:$B$785,polaris!$C$2:$C$785)</f>
        <v>ALCALDIA DE HERRAN  - AUT [16015130; NDS; MET; INMARSAT; AO08; FONDO ADAPTACION]</v>
      </c>
      <c r="M4" t="b">
        <f t="shared" si="0"/>
        <v>1</v>
      </c>
    </row>
    <row r="5" spans="1:13" x14ac:dyDescent="0.25">
      <c r="A5" s="9">
        <v>4</v>
      </c>
      <c r="B5" s="9">
        <v>5</v>
      </c>
      <c r="C5" s="10" t="s">
        <v>426</v>
      </c>
      <c r="D5" t="str">
        <f>+_xlfn.XLOOKUP(B5,polaris!$B$2:$B$785,polaris!$D$2:$D$785)</f>
        <v>HIDROLÓGICA</v>
      </c>
      <c r="E5"/>
      <c r="F5" s="26">
        <v>37057020</v>
      </c>
      <c r="G5" s="26" t="str" cm="1">
        <f t="array" ref="G5">+_xlfn.XLOOKUP(C5,Hoja1!$E$2:$E$420,Tabla1[Nombre])</f>
        <v>ALCARAVAN  AUT [37057020]</v>
      </c>
      <c r="H5" t="str">
        <f>+_xlfn.XLOOKUP(F5,Tabla1[Codigo],Tabla1[Nombre])</f>
        <v>ALCARAVAN  AUT [37057020]</v>
      </c>
      <c r="I5" t="str">
        <f>+_xlfn.XLOOKUP(F5,Hoja5!$C$2:$C$420,Hoja5!$G$2:$G$420)</f>
        <v>OFFLINE MANUAL</v>
      </c>
      <c r="J5" t="str" cm="1">
        <f t="array" ref="J5">+_xlfn.XLOOKUP(F5,Hoja5!$C$2:$C$420,Hoja5!$H$2:H$420)</f>
        <v>PROC SUSPENSION</v>
      </c>
      <c r="L5" t="str">
        <f>+_xlfn.XLOOKUP(B5,polaris!$B$2:$B$785,polaris!$C$2:$C$785)</f>
        <v>ALCARAVAN  AUT [37057020; ARA; HID; INMARSAT: AO08; FONDO ADAPTACION]</v>
      </c>
      <c r="M5" t="b">
        <f t="shared" si="0"/>
        <v>1</v>
      </c>
    </row>
    <row r="6" spans="1:13" x14ac:dyDescent="0.25">
      <c r="A6" s="9">
        <v>5</v>
      </c>
      <c r="B6" s="9">
        <v>6</v>
      </c>
      <c r="C6" s="10" t="s">
        <v>427</v>
      </c>
      <c r="D6" t="str">
        <f>+_xlfn.XLOOKUP(B6,polaris!$B$2:$B$785,polaris!$D$2:$D$785)</f>
        <v>METEOROLÓGICA</v>
      </c>
      <c r="E6"/>
      <c r="F6" s="26">
        <v>21105030</v>
      </c>
      <c r="G6" s="26" t="str" cm="1">
        <f t="array" ref="G6">+_xlfn.XLOOKUP(C6,Hoja1!$E$2:$E$420,Tabla1[Nombre])</f>
        <v>ALGECIRAS - AUT [21105030]</v>
      </c>
      <c r="H6" t="str">
        <f>+_xlfn.XLOOKUP(F6,Tabla1[Codigo],Tabla1[Nombre])</f>
        <v>ALGECIRAS - AUT [21105030]</v>
      </c>
      <c r="I6" t="str">
        <f>+_xlfn.XLOOKUP(F6,Hoja5!$C$2:$C$420,Hoja5!$G$2:$G$420)</f>
        <v>EN LINEA</v>
      </c>
      <c r="J6" t="str" cm="1">
        <f t="array" ref="J6">+_xlfn.XLOOKUP(F6,Hoja5!$C$2:$C$420,Hoja5!$H$2:H$420)</f>
        <v>GPRS</v>
      </c>
      <c r="L6" t="str">
        <f>+_xlfn.XLOOKUP(B6,polaris!$B$2:$B$785,polaris!$C$2:$C$785)</f>
        <v>ALGECIRAS - AUT [21105030; AO 04; MET; GPRS; FONDO ADAPTACION]</v>
      </c>
      <c r="M6" t="b">
        <f t="shared" si="0"/>
        <v>1</v>
      </c>
    </row>
    <row r="7" spans="1:13" x14ac:dyDescent="0.25">
      <c r="A7" s="9">
        <v>6</v>
      </c>
      <c r="B7" s="9">
        <v>7</v>
      </c>
      <c r="C7" s="10" t="s">
        <v>428</v>
      </c>
      <c r="D7" t="str">
        <f>+_xlfn.XLOOKUP(B7,polaris!$B$2:$B$785,polaris!$D$2:$D$785)</f>
        <v>METEOROLÓGICA</v>
      </c>
      <c r="E7"/>
      <c r="F7" s="26">
        <v>51025080</v>
      </c>
      <c r="G7" s="26" t="str" cm="1">
        <f t="array" ref="G7">+_xlfn.XLOOKUP(C7,Hoja1!$E$2:$E$420,Tabla1[Nombre])</f>
        <v>ALTAQUER - AUT [51025080]</v>
      </c>
      <c r="H7" t="str">
        <f>+_xlfn.XLOOKUP(F7,Tabla1[Codigo],Tabla1[Nombre])</f>
        <v>ALTAQUER - AUT [51025080]</v>
      </c>
      <c r="I7" t="str">
        <f>+_xlfn.XLOOKUP(F7,Hoja5!$C$2:$C$420,Hoja5!$G$2:$G$420)</f>
        <v>EN LINEA</v>
      </c>
      <c r="J7" t="str" cm="1">
        <f t="array" ref="J7">+_xlfn.XLOOKUP(F7,Hoja5!$C$2:$C$420,Hoja5!$H$2:H$420)</f>
        <v>GPRS</v>
      </c>
      <c r="L7" t="str">
        <f>+_xlfn.XLOOKUP(B7,polaris!$B$2:$B$785,polaris!$C$2:$C$785)</f>
        <v>ALTAQUER - AUT [51025080; AO07; FONDO ADAPTACION]</v>
      </c>
      <c r="M7" t="b">
        <f t="shared" si="0"/>
        <v>1</v>
      </c>
    </row>
    <row r="8" spans="1:13" x14ac:dyDescent="0.25">
      <c r="A8" s="9">
        <v>7</v>
      </c>
      <c r="B8" s="9">
        <v>9</v>
      </c>
      <c r="C8" s="10" t="s">
        <v>429</v>
      </c>
      <c r="D8" t="str">
        <f>+_xlfn.XLOOKUP(B8,polaris!$B$2:$B$785,polaris!$D$2:$D$785)</f>
        <v>HIDROLÓGICA</v>
      </c>
      <c r="E8"/>
      <c r="F8" s="26">
        <v>23087160</v>
      </c>
      <c r="G8" s="26" t="str" cm="1">
        <f t="array" ref="G8">+_xlfn.XLOOKUP(C8,Hoja1!$E$2:$E$420,Tabla1[Nombre])</f>
        <v>CARAMANTA  - AUT [23087160]</v>
      </c>
      <c r="H8" t="str">
        <f>+_xlfn.XLOOKUP(F8,Tabla1[Codigo],Tabla1[Nombre])</f>
        <v>CARAMANTA  - AUT [23087160]</v>
      </c>
      <c r="I8" t="str">
        <f>+_xlfn.XLOOKUP(F8,Hoja5!$C$2:$C$420,Hoja5!$G$2:$G$420)</f>
        <v>EN LINEA</v>
      </c>
      <c r="J8" t="str" cm="1">
        <f t="array" ref="J8">+_xlfn.XLOOKUP(F8,Hoja5!$C$2:$C$420,Hoja5!$H$2:H$420)</f>
        <v>GPRS</v>
      </c>
      <c r="L8" t="str">
        <f>+_xlfn.XLOOKUP(B8,polaris!$B$2:$B$785,polaris!$C$2:$C$785)</f>
        <v>CARAMANTA [23087160;AO 01;FONDO ADAPTACION]</v>
      </c>
      <c r="M8" t="b">
        <f t="shared" si="0"/>
        <v>1</v>
      </c>
    </row>
    <row r="9" spans="1:13" x14ac:dyDescent="0.25">
      <c r="A9" s="9">
        <v>8</v>
      </c>
      <c r="B9" s="9">
        <v>10</v>
      </c>
      <c r="C9" s="10" t="s">
        <v>430</v>
      </c>
      <c r="D9" t="str">
        <f>+_xlfn.XLOOKUP(B9,polaris!$B$2:$B$785,polaris!$D$2:$D$785)</f>
        <v>HIDROLÓGICA</v>
      </c>
      <c r="E9"/>
      <c r="F9" s="26">
        <v>21137050</v>
      </c>
      <c r="G9" s="26" t="str" cm="1">
        <f t="array" ref="G9">+_xlfn.XLOOKUP(C9,Hoja1!$E$2:$E$420,Tabla1[Nombre])</f>
        <v>ANGOSTURA  - AUT [21137050]</v>
      </c>
      <c r="H9" t="str">
        <f>+_xlfn.XLOOKUP(F9,Tabla1[Codigo],Tabla1[Nombre])</f>
        <v>ANGOSTURA  - AUT [21137050]</v>
      </c>
      <c r="I9" t="str">
        <f>+_xlfn.XLOOKUP(F9,Hoja5!$C$2:$C$420,Hoja5!$G$2:$G$420)</f>
        <v>DESCONECTADO</v>
      </c>
      <c r="J9" t="str" cm="1">
        <f t="array" ref="J9">+_xlfn.XLOOKUP(F9,Hoja5!$C$2:$C$420,Hoja5!$H$2:H$420)</f>
        <v>INMARSAT</v>
      </c>
      <c r="L9" t="str">
        <f>+_xlfn.XLOOKUP(B9,polaris!$B$2:$B$785,polaris!$C$2:$C$785)</f>
        <v>ANGOSTURA  - AUT [21137050; TOL; HID; INMARSAT; AO04; FONDO ADAPTACION]</v>
      </c>
      <c r="M9" t="b">
        <f t="shared" si="0"/>
        <v>1</v>
      </c>
    </row>
    <row r="10" spans="1:13" x14ac:dyDescent="0.25">
      <c r="A10" s="9">
        <v>9</v>
      </c>
      <c r="B10" s="9">
        <v>11</v>
      </c>
      <c r="C10" s="10" t="s">
        <v>431</v>
      </c>
      <c r="D10" t="str">
        <f>+_xlfn.XLOOKUP(B10,polaris!$B$2:$B$785,polaris!$D$2:$D$785)</f>
        <v>METEOROLÓGICA</v>
      </c>
      <c r="E10"/>
      <c r="F10" s="26">
        <v>53045040</v>
      </c>
      <c r="G10" s="26" t="str" cm="1">
        <f t="array" ref="G10">+_xlfn.XLOOKUP(C10,Hoja1!$E$2:$E$420,Tabla1[Nombre])</f>
        <v>AEROPUERTO GUAPI - AUT [53045040]</v>
      </c>
      <c r="H10" t="str">
        <f>+_xlfn.XLOOKUP(F10,Tabla1[Codigo],Tabla1[Nombre])</f>
        <v>AEROPUERTO GUAPI - AUT [53045040]</v>
      </c>
      <c r="I10" t="str">
        <f>+_xlfn.XLOOKUP(F10,Hoja5!$C$2:$C$420,Hoja5!$G$2:$G$420)</f>
        <v>EN LINEA</v>
      </c>
      <c r="J10" t="str" cm="1">
        <f t="array" ref="J10">+_xlfn.XLOOKUP(F10,Hoja5!$C$2:$C$420,Hoja5!$H$2:H$420)</f>
        <v>GPRS</v>
      </c>
      <c r="L10" t="str">
        <f>+_xlfn.XLOOKUP(B10,polaris!$B$2:$B$785,polaris!$C$2:$C$785)</f>
        <v>AEROPUERTO GUAPI - AUT [53045040;AO 07;FONDO ADAPTACION]</v>
      </c>
      <c r="M10" t="b">
        <f t="shared" si="0"/>
        <v>1</v>
      </c>
    </row>
    <row r="11" spans="1:13" x14ac:dyDescent="0.25">
      <c r="A11" s="9">
        <v>10</v>
      </c>
      <c r="B11" s="9">
        <v>12</v>
      </c>
      <c r="C11" s="10" t="s">
        <v>432</v>
      </c>
      <c r="D11" t="str">
        <f>+_xlfn.XLOOKUP(B11,polaris!$B$2:$B$785,polaris!$D$2:$D$785)</f>
        <v>METEOROLÓGICA</v>
      </c>
      <c r="E11"/>
      <c r="F11" s="26">
        <v>35095120</v>
      </c>
      <c r="G11" s="26" t="str" cm="1">
        <f t="array" ref="G11">+_xlfn.XLOOKUP(C11,Hoja1!$E$2:$E$420,Tabla1[Nombre])</f>
        <v>AQUITANIA - AUT [35095120]</v>
      </c>
      <c r="H11" t="str">
        <f>+_xlfn.XLOOKUP(F11,Tabla1[Codigo],Tabla1[Nombre])</f>
        <v>AQUITANIA - AUT [35095120]</v>
      </c>
      <c r="I11" t="str">
        <f>+_xlfn.XLOOKUP(F11,Hoja5!$C$2:$C$420,Hoja5!$G$2:$G$420)</f>
        <v>EN LINEA</v>
      </c>
      <c r="J11" t="str" cm="1">
        <f t="array" ref="J11">+_xlfn.XLOOKUP(F11,Hoja5!$C$2:$C$420,Hoja5!$H$2:H$420)</f>
        <v>GPRS</v>
      </c>
      <c r="L11" t="str">
        <f>+_xlfn.XLOOKUP(B11,polaris!$B$2:$B$785,polaris!$C$2:$C$785)</f>
        <v>AQUITANIA - AUT [35095120; AO 06; MET; GPRS; FONDO ADAPTACION]</v>
      </c>
      <c r="M11" t="b">
        <f t="shared" si="0"/>
        <v>1</v>
      </c>
    </row>
    <row r="12" spans="1:13" x14ac:dyDescent="0.25">
      <c r="A12" s="9">
        <v>11</v>
      </c>
      <c r="B12" s="9">
        <v>13</v>
      </c>
      <c r="C12" s="10" t="s">
        <v>433</v>
      </c>
      <c r="D12" t="str">
        <f>+_xlfn.XLOOKUP(B12,polaris!$B$2:$B$785,polaris!$D$2:$D$785)</f>
        <v>METEOROLÓGICA</v>
      </c>
      <c r="E12"/>
      <c r="F12" s="26">
        <v>27015320</v>
      </c>
      <c r="G12" s="26" t="str" cm="1">
        <f t="array" ref="G12">+_xlfn.XLOOKUP(C12,Hoja1!$E$2:$E$420,Tabla1[Nombre])</f>
        <v>ARAGON - AUT [27015320]</v>
      </c>
      <c r="H12" t="str">
        <f>+_xlfn.XLOOKUP(F12,Tabla1[Codigo],Tabla1[Nombre])</f>
        <v>ARAGON - AUT [27015320]</v>
      </c>
      <c r="I12" t="str">
        <f>+_xlfn.XLOOKUP(F12,Hoja5!$C$2:$C$420,Hoja5!$G$2:$G$420)</f>
        <v>EN LINEA</v>
      </c>
      <c r="J12" t="str" cm="1">
        <f t="array" ref="J12">+_xlfn.XLOOKUP(F12,Hoja5!$C$2:$C$420,Hoja5!$H$2:H$420)</f>
        <v>GPRS</v>
      </c>
      <c r="L12" t="str">
        <f>+_xlfn.XLOOKUP(B12,polaris!$B$2:$B$785,polaris!$C$2:$C$785)</f>
        <v>ARAGON [27015320;AO 01;FONDO ADAPTACION]</v>
      </c>
      <c r="M12" t="b">
        <f t="shared" si="0"/>
        <v>1</v>
      </c>
    </row>
    <row r="13" spans="1:13" x14ac:dyDescent="0.25">
      <c r="A13" s="9">
        <v>12</v>
      </c>
      <c r="B13" s="9">
        <v>16</v>
      </c>
      <c r="C13" s="10" t="s">
        <v>434</v>
      </c>
      <c r="D13" t="str">
        <f>+_xlfn.XLOOKUP(B13,polaris!$B$2:$B$785,polaris!$D$2:$D$785)</f>
        <v>METEOROLÓGICA</v>
      </c>
      <c r="E13"/>
      <c r="F13" s="26">
        <v>26015040</v>
      </c>
      <c r="G13" s="26" t="str" cm="1">
        <f t="array" ref="G13">+_xlfn.XLOOKUP(C13,Hoja1!$E$2:$E$420,Tabla1[Nombre])</f>
        <v>ARRAYANALES - AUT [26015040]</v>
      </c>
      <c r="H13" t="str">
        <f>+_xlfn.XLOOKUP(F13,Tabla1[Codigo],Tabla1[Nombre])</f>
        <v>ARRAYANALES - AUT [26015040]</v>
      </c>
      <c r="I13" t="str">
        <f>+_xlfn.XLOOKUP(F13,Hoja5!$C$2:$C$420,Hoja5!$G$2:$G$420)</f>
        <v>EN LINEA</v>
      </c>
      <c r="J13" t="str" cm="1">
        <f t="array" ref="J13">+_xlfn.XLOOKUP(F13,Hoja5!$C$2:$C$420,Hoja5!$H$2:H$420)</f>
        <v>GOES</v>
      </c>
      <c r="L13" t="str">
        <f>+_xlfn.XLOOKUP(B13,polaris!$B$2:$B$785,polaris!$C$2:$C$785)</f>
        <v>ARRAYANALES - AUT [26015040; AO09; IPWD;GOES; FNCM ]</v>
      </c>
      <c r="M13" t="b">
        <f t="shared" si="0"/>
        <v>0</v>
      </c>
    </row>
    <row r="14" spans="1:13" x14ac:dyDescent="0.25">
      <c r="A14" s="9">
        <v>13</v>
      </c>
      <c r="B14" s="9">
        <v>20</v>
      </c>
      <c r="C14" s="10" t="s">
        <v>435</v>
      </c>
      <c r="D14" t="str">
        <f>+_xlfn.XLOOKUP(B14,polaris!$B$2:$B$785,polaris!$D$2:$D$785)</f>
        <v>METEOROLÓGICA</v>
      </c>
      <c r="E14"/>
      <c r="F14" s="26">
        <v>21206280</v>
      </c>
      <c r="G14" s="26" t="str" cm="1">
        <f t="array" ref="G14">+_xlfn.XLOOKUP(C14,Hoja1!$E$2:$E$420,Tabla1[Nombre])</f>
        <v>ACAPULCO AUT [21206280]</v>
      </c>
      <c r="H14" t="str">
        <f>+_xlfn.XLOOKUP(F14,Tabla1[Codigo],Tabla1[Nombre])</f>
        <v>ACAPULCO AUT [21206280]</v>
      </c>
      <c r="I14" t="str">
        <f>+_xlfn.XLOOKUP(F14,Hoja5!$C$2:$C$420,Hoja5!$G$2:$G$420)</f>
        <v>EN LINEA</v>
      </c>
      <c r="J14" t="str" cm="1">
        <f t="array" ref="J14">+_xlfn.XLOOKUP(F14,Hoja5!$C$2:$C$420,Hoja5!$H$2:H$420)</f>
        <v>GPRS</v>
      </c>
      <c r="L14" t="str">
        <f>+_xlfn.XLOOKUP(B14,polaris!$B$2:$B$785,polaris!$C$2:$C$785)</f>
        <v>ACAPULCO [21206280; AO11; FONDO ADAPTACION]</v>
      </c>
      <c r="M14" t="b">
        <f t="shared" si="0"/>
        <v>1</v>
      </c>
    </row>
    <row r="15" spans="1:13" x14ac:dyDescent="0.25">
      <c r="A15" s="9">
        <v>14</v>
      </c>
      <c r="B15" s="9">
        <v>21</v>
      </c>
      <c r="C15" s="10" t="s">
        <v>436</v>
      </c>
      <c r="D15" t="str">
        <f>+_xlfn.XLOOKUP(B15,polaris!$B$2:$B$785,polaris!$D$2:$D$785)</f>
        <v>METEOROLÓGICA</v>
      </c>
      <c r="E15"/>
      <c r="F15" s="26">
        <v>26085170</v>
      </c>
      <c r="G15" s="26" t="str" cm="1">
        <f t="array" ref="G15">+_xlfn.XLOOKUP(C15,Hoja1!$E$2:$E$420,Tabla1[Nombre])</f>
        <v>BASE AEREA MARCO FIDEL SUAREZ  - AUT [26085170]</v>
      </c>
      <c r="H15" t="str">
        <f>+_xlfn.XLOOKUP(F15,Tabla1[Codigo],Tabla1[Nombre])</f>
        <v>BASE AEREA MARCO FIDEL SUAREZ  - AUT [26085170]</v>
      </c>
      <c r="I15" t="str">
        <f>+_xlfn.XLOOKUP(F15,Hoja5!$C$2:$C$420,Hoja5!$G$2:$G$420)</f>
        <v>EN LINEA</v>
      </c>
      <c r="J15" t="str" cm="1">
        <f t="array" ref="J15">+_xlfn.XLOOKUP(F15,Hoja5!$C$2:$C$420,Hoja5!$H$2:H$420)</f>
        <v>GPRS</v>
      </c>
      <c r="L15" t="str">
        <f>+_xlfn.XLOOKUP(B15,polaris!$B$2:$B$785,polaris!$C$2:$C$785)</f>
        <v>BASE AEREA MARCO FIDEL SUAREZ  - AUT [26085170; VDC; MET; GOES: CB1E936C; AO09; FONDO ADAPTACION]</v>
      </c>
      <c r="M15" t="b">
        <f t="shared" si="0"/>
        <v>1</v>
      </c>
    </row>
    <row r="16" spans="1:13" x14ac:dyDescent="0.25">
      <c r="A16" s="9">
        <v>15</v>
      </c>
      <c r="B16" s="9">
        <v>22</v>
      </c>
      <c r="C16" s="10" t="s">
        <v>437</v>
      </c>
      <c r="D16" t="str">
        <f>+_xlfn.XLOOKUP(B16,polaris!$B$2:$B$785,polaris!$D$2:$D$785)</f>
        <v>METEOROLÓGICA</v>
      </c>
      <c r="E16"/>
      <c r="F16" s="26">
        <v>29065120</v>
      </c>
      <c r="G16" s="26" t="str" cm="1">
        <f t="array" ref="G16">+_xlfn.XLOOKUP(C16,Hoja1!$E$2:$E$420,Tabla1[Nombre])</f>
        <v>BATALLON NO. 6 - AUT [29065120]</v>
      </c>
      <c r="H16" t="str">
        <f>+_xlfn.XLOOKUP(F16,Tabla1[Codigo],Tabla1[Nombre])</f>
        <v>BATALLON NO. 6 - AUT [29065120]</v>
      </c>
      <c r="I16" t="str">
        <f>+_xlfn.XLOOKUP(F16,Hoja5!$C$2:$C$420,Hoja5!$G$2:$G$420)</f>
        <v>DESCONECTADO</v>
      </c>
      <c r="J16" t="str" cm="1">
        <f t="array" ref="J16">+_xlfn.XLOOKUP(F16,Hoja5!$C$2:$C$420,Hoja5!$H$2:H$420)</f>
        <v>INMARSAT</v>
      </c>
      <c r="L16" t="str">
        <f>+_xlfn.XLOOKUP(B16,polaris!$B$2:$B$785,polaris!$C$2:$C$785)</f>
        <v>BATALLON NO. 6 - AUT [29065120; AO 05; FONDO ADAPTACION]</v>
      </c>
      <c r="M16" t="b">
        <f t="shared" si="0"/>
        <v>1</v>
      </c>
    </row>
    <row r="17" spans="1:13" x14ac:dyDescent="0.25">
      <c r="A17" s="9">
        <v>16</v>
      </c>
      <c r="B17" s="9">
        <v>23</v>
      </c>
      <c r="C17" s="10" t="s">
        <v>438</v>
      </c>
      <c r="D17" t="str">
        <f>+_xlfn.XLOOKUP(B17,polaris!$B$2:$B$785,polaris!$D$2:$D$785)</f>
        <v>METEOROLÓGICA</v>
      </c>
      <c r="E17"/>
      <c r="F17" s="26">
        <v>21215180</v>
      </c>
      <c r="G17" s="26" t="str" cm="1">
        <f t="array" ref="G17">+_xlfn.XLOOKUP(C17,Hoja1!$E$2:$E$420,Tabla1[Nombre])</f>
        <v>BATALLON ROOKE  - AUT [21215180]</v>
      </c>
      <c r="H17" t="str">
        <f>+_xlfn.XLOOKUP(F17,Tabla1[Codigo],Tabla1[Nombre])</f>
        <v>BATALLON ROOKE  - AUT [21215180]</v>
      </c>
      <c r="I17" t="str">
        <f>+_xlfn.XLOOKUP(F17,Hoja5!$C$2:$C$420,Hoja5!$G$2:$G$420)</f>
        <v>EN LINEA</v>
      </c>
      <c r="J17" t="str" cm="1">
        <f t="array" ref="J17">+_xlfn.XLOOKUP(F17,Hoja5!$C$2:$C$420,Hoja5!$H$2:H$420)</f>
        <v>GPRS</v>
      </c>
      <c r="L17" t="str">
        <f>+_xlfn.XLOOKUP(B17,polaris!$B$2:$B$785,polaris!$C$2:$C$785)</f>
        <v>BATALLON ROOKE  - AUT [21215180; AO 10; MET; GPRS; FONDO ADAPTACION]</v>
      </c>
      <c r="M17" t="b">
        <f t="shared" si="0"/>
        <v>1</v>
      </c>
    </row>
    <row r="18" spans="1:13" x14ac:dyDescent="0.25">
      <c r="A18" s="9">
        <v>17</v>
      </c>
      <c r="B18" s="9">
        <v>24</v>
      </c>
      <c r="C18" s="10" t="s">
        <v>439</v>
      </c>
      <c r="D18" t="str">
        <f>+_xlfn.XLOOKUP(B18,polaris!$B$2:$B$785,polaris!$D$2:$D$785)</f>
        <v>METEOROLÓGICA</v>
      </c>
      <c r="E18"/>
      <c r="F18" s="26">
        <v>37015030</v>
      </c>
      <c r="G18" s="26" t="str" cm="1">
        <f t="array" ref="G18">+_xlfn.XLOOKUP(C18,Hoja1!$E$2:$E$420,Tabla1[Nombre])</f>
        <v>BERLIN - AUT [37015030]</v>
      </c>
      <c r="H18" t="str">
        <f>+_xlfn.XLOOKUP(F18,Tabla1[Codigo],Tabla1[Nombre])</f>
        <v>BERLIN - AUT [37015030]</v>
      </c>
      <c r="I18" t="str">
        <f>+_xlfn.XLOOKUP(F18,Hoja5!$C$2:$C$420,Hoja5!$G$2:$G$420)</f>
        <v>EN LINEA</v>
      </c>
      <c r="J18" t="str" cm="1">
        <f t="array" ref="J18">+_xlfn.XLOOKUP(F18,Hoja5!$C$2:$C$420,Hoja5!$H$2:H$420)</f>
        <v>GPRS</v>
      </c>
      <c r="L18" t="str">
        <f>+_xlfn.XLOOKUP(B18,polaris!$B$2:$B$785,polaris!$C$2:$C$785)</f>
        <v>BERLIN - AUT [37015030; AO 08; MET; GPRS; FONDO ADAPTACION]</v>
      </c>
      <c r="M18" t="b">
        <f t="shared" si="0"/>
        <v>1</v>
      </c>
    </row>
    <row r="19" spans="1:13" x14ac:dyDescent="0.25">
      <c r="A19" s="9">
        <v>18</v>
      </c>
      <c r="B19" s="9">
        <v>25</v>
      </c>
      <c r="C19" s="95" t="s">
        <v>440</v>
      </c>
      <c r="D19" t="str">
        <f>+_xlfn.XLOOKUP(B19,polaris!$B$2:$B$785,polaris!$D$2:$D$785)</f>
        <v>METEOROLÓGICA</v>
      </c>
      <c r="E19"/>
      <c r="F19" s="26">
        <v>51025060</v>
      </c>
      <c r="G19" s="26" t="str" cm="1">
        <f t="array" ref="G19">+_xlfn.XLOOKUP(C19,Hoja1!$E$2:$E$420,Tabla1[Nombre])</f>
        <v>BIOTOPO - AUT [51025060]</v>
      </c>
      <c r="H19" t="str">
        <f>+_xlfn.XLOOKUP(F19,Tabla1[Codigo],Tabla1[Nombre])</f>
        <v>BIOTOPO - AUT [51025060]</v>
      </c>
      <c r="I19" t="str">
        <f>+_xlfn.XLOOKUP(F19,Hoja5!$C$2:$C$420,Hoja5!$G$2:$G$420)</f>
        <v>OFFLINE MANUAL</v>
      </c>
      <c r="J19" t="str" cm="1">
        <f t="array" ref="J19">+_xlfn.XLOOKUP(F19,Hoja5!$C$2:$C$420,Hoja5!$H$2:H$420)</f>
        <v>ORDEN PÚBLICO</v>
      </c>
      <c r="L19" t="str">
        <f>+_xlfn.XLOOKUP(B19,polaris!$B$2:$B$785,polaris!$C$2:$C$785)</f>
        <v>BIOTOPO - AUT [51025060;  AO07; PROCESO DE SUSPENSIÓN]</v>
      </c>
      <c r="M19" t="b">
        <f t="shared" si="0"/>
        <v>1</v>
      </c>
    </row>
    <row r="20" spans="1:13" x14ac:dyDescent="0.25">
      <c r="A20" s="9">
        <v>19</v>
      </c>
      <c r="B20" s="9">
        <v>26</v>
      </c>
      <c r="C20" s="10" t="s">
        <v>441</v>
      </c>
      <c r="D20" t="str">
        <f>+_xlfn.XLOOKUP(B20,polaris!$B$2:$B$785,polaris!$D$2:$D$785)</f>
        <v>HIDROLÓGICA</v>
      </c>
      <c r="E20"/>
      <c r="F20" s="26">
        <v>23067020</v>
      </c>
      <c r="G20" s="26" t="str" cm="1">
        <f t="array" ref="G20">+_xlfn.XLOOKUP(C20,Hoja1!$E$2:$E$420,Tabla1[Nombre])</f>
        <v>COLORADOS  - AUT [23067020]</v>
      </c>
      <c r="H20" t="str">
        <f>+_xlfn.XLOOKUP(F20,Tabla1[Codigo],Tabla1[Nombre])</f>
        <v>COLORADOS  - AUT [23067020]</v>
      </c>
      <c r="I20" t="str">
        <f>+_xlfn.XLOOKUP(F20,Hoja5!$C$2:$C$420,Hoja5!$G$2:$G$420)</f>
        <v>DESCONECTADO</v>
      </c>
      <c r="J20" t="str" cm="1">
        <f t="array" ref="J20">+_xlfn.XLOOKUP(F20,Hoja5!$C$2:$C$420,Hoja5!$H$2:H$420)</f>
        <v>INMARSAT</v>
      </c>
      <c r="L20" t="str">
        <f>+_xlfn.XLOOKUP(B20,polaris!$B$2:$B$785,polaris!$C$2:$C$785)</f>
        <v>COLORADOS  - AUT [23067020; CUN; HID; INMARSAT; AO10; FONDO ADAPTACION]</v>
      </c>
      <c r="M20" t="b">
        <f t="shared" si="0"/>
        <v>1</v>
      </c>
    </row>
    <row r="21" spans="1:13" x14ac:dyDescent="0.25">
      <c r="A21" s="9">
        <v>20</v>
      </c>
      <c r="B21" s="9">
        <v>28</v>
      </c>
      <c r="C21" s="10" t="s">
        <v>442</v>
      </c>
      <c r="D21" t="str">
        <f>+_xlfn.XLOOKUP(B21,polaris!$B$2:$B$785,polaris!$D$2:$D$785)</f>
        <v>METEOROLÓGICA</v>
      </c>
      <c r="E21"/>
      <c r="F21" s="26">
        <v>52055210</v>
      </c>
      <c r="G21" s="26" t="str" cm="1">
        <f t="array" ref="G21">+_xlfn.XLOOKUP(C21,Hoja1!$E$2:$E$420,Tabla1[Nombre])</f>
        <v>BOTANA - AUT [52055210]</v>
      </c>
      <c r="H21" t="str">
        <f>+_xlfn.XLOOKUP(F21,Tabla1[Codigo],Tabla1[Nombre])</f>
        <v>BOTANA - AUT [52055210]</v>
      </c>
      <c r="I21" t="str">
        <f>+_xlfn.XLOOKUP(F21,Hoja5!$C$2:$C$420,Hoja5!$G$2:$G$420)</f>
        <v>EN LINEA</v>
      </c>
      <c r="J21" t="str" cm="1">
        <f t="array" ref="J21">+_xlfn.XLOOKUP(F21,Hoja5!$C$2:$C$420,Hoja5!$H$2:H$420)</f>
        <v>GPRS</v>
      </c>
      <c r="L21" t="str">
        <f>+_xlfn.XLOOKUP(B21,polaris!$B$2:$B$785,polaris!$C$2:$C$785)</f>
        <v>BOTANA - AUT [52055210; AO 07; FONDO ADAPTACION]</v>
      </c>
      <c r="M21" t="b">
        <f t="shared" si="0"/>
        <v>1</v>
      </c>
    </row>
    <row r="22" spans="1:13" x14ac:dyDescent="0.25">
      <c r="A22" s="9">
        <v>21</v>
      </c>
      <c r="B22" s="9">
        <v>29</v>
      </c>
      <c r="C22" s="10" t="s">
        <v>443</v>
      </c>
      <c r="D22" t="str">
        <f>+_xlfn.XLOOKUP(B22,polaris!$B$2:$B$785,polaris!$D$2:$D$785)</f>
        <v>METEOROLÓGICA</v>
      </c>
      <c r="E22"/>
      <c r="F22" s="26">
        <v>24015110</v>
      </c>
      <c r="G22" s="26" t="str" cm="1">
        <f t="array" ref="G22">+_xlfn.XLOOKUP(C22,Hoja1!$E$2:$E$420,Tabla1[Nombre])</f>
        <v>LA BOYERA - AUT [24015110]</v>
      </c>
      <c r="H22" t="str">
        <f>+_xlfn.XLOOKUP(F22,Tabla1[Codigo],Tabla1[Nombre])</f>
        <v>LA BOYERA - AUT [24015110]</v>
      </c>
      <c r="I22" t="str">
        <f>+_xlfn.XLOOKUP(F22,Hoja5!$C$2:$C$420,Hoja5!$G$2:$G$420)</f>
        <v>EN LINEA</v>
      </c>
      <c r="J22" t="str" cm="1">
        <f t="array" ref="J22">+_xlfn.XLOOKUP(F22,Hoja5!$C$2:$C$420,Hoja5!$H$2:H$420)</f>
        <v>GPRS</v>
      </c>
      <c r="L22" t="str">
        <f>+_xlfn.XLOOKUP(B22,polaris!$B$2:$B$785,polaris!$C$2:$C$785)</f>
        <v>LA BOYERA [24015110; AO11; FONDO ADAPTACION]</v>
      </c>
      <c r="M22" t="b">
        <f t="shared" si="0"/>
        <v>1</v>
      </c>
    </row>
    <row r="23" spans="1:13" x14ac:dyDescent="0.25">
      <c r="A23" s="9">
        <v>22</v>
      </c>
      <c r="B23" s="9">
        <v>30</v>
      </c>
      <c r="C23" s="10" t="s">
        <v>444</v>
      </c>
      <c r="D23" t="str">
        <f>+_xlfn.XLOOKUP(B23,polaris!$B$2:$B$785,polaris!$D$2:$D$785)</f>
        <v>METEOROLÓGICA</v>
      </c>
      <c r="E23"/>
      <c r="F23" s="26">
        <v>29015000</v>
      </c>
      <c r="G23" s="26" t="str" cm="1">
        <f t="array" ref="G23">+_xlfn.XLOOKUP(C23,Hoja1!$E$2:$E$420,Tabla1[Nombre])</f>
        <v>EL GUAMO - AUT [29015000]</v>
      </c>
      <c r="H23" t="str">
        <f>+_xlfn.XLOOKUP(F23,Tabla1[Codigo],Tabla1[Nombre])</f>
        <v>EL GUAMO - AUT [29015000]</v>
      </c>
      <c r="I23" t="str">
        <f>+_xlfn.XLOOKUP(F23,Hoja5!$C$2:$C$420,Hoja5!$G$2:$G$420)</f>
        <v>EN LINEA</v>
      </c>
      <c r="J23" t="str" cm="1">
        <f t="array" ref="J23">+_xlfn.XLOOKUP(F23,Hoja5!$C$2:$C$420,Hoja5!$H$2:H$420)</f>
        <v>GPRS</v>
      </c>
      <c r="L23" t="str">
        <f>+_xlfn.XLOOKUP(B23,polaris!$B$2:$B$785,polaris!$C$2:$C$785)</f>
        <v>EL GUAMO - AUT [29015000; AO 02; FONDO ADAPTACION]</v>
      </c>
      <c r="M23" t="b">
        <f t="shared" si="0"/>
        <v>1</v>
      </c>
    </row>
    <row r="24" spans="1:13" x14ac:dyDescent="0.25">
      <c r="A24" s="9">
        <v>23</v>
      </c>
      <c r="B24" s="9">
        <v>31</v>
      </c>
      <c r="C24" s="10" t="s">
        <v>445</v>
      </c>
      <c r="D24" t="str">
        <f>+_xlfn.XLOOKUP(B24,polaris!$B$2:$B$785,polaris!$D$2:$D$785)</f>
        <v>METEOROLÓGICA</v>
      </c>
      <c r="E24"/>
      <c r="F24" s="26">
        <v>26115090</v>
      </c>
      <c r="G24" s="26" t="str" cm="1">
        <f t="array" ref="G24">+_xlfn.XLOOKUP(C24,Hoja1!$E$2:$E$420,Tabla1[Nombre])</f>
        <v>LAS BRISAS - AUT [26115090]</v>
      </c>
      <c r="H24" t="str">
        <f>+_xlfn.XLOOKUP(F24,Tabla1[Codigo],Tabla1[Nombre])</f>
        <v>LAS BRISAS - AUT [26115090]</v>
      </c>
      <c r="I24" t="str">
        <f>+_xlfn.XLOOKUP(F24,Hoja5!$C$2:$C$420,Hoja5!$G$2:$G$420)</f>
        <v>DESCONECTADO</v>
      </c>
      <c r="J24" t="str" cm="1">
        <f t="array" ref="J24">+_xlfn.XLOOKUP(F24,Hoja5!$C$2:$C$420,Hoja5!$H$2:H$420)</f>
        <v>GPRS</v>
      </c>
      <c r="L24" t="str">
        <f>+_xlfn.XLOOKUP(B24,polaris!$B$2:$B$785,polaris!$C$2:$C$785)</f>
        <v>LAS BRISAS - AUT [26115090; AO 09; MET; GPRS; FONDO ADAPTACION]</v>
      </c>
      <c r="M24" t="b">
        <f t="shared" si="0"/>
        <v>1</v>
      </c>
    </row>
    <row r="25" spans="1:13" x14ac:dyDescent="0.25">
      <c r="A25" s="9">
        <v>24</v>
      </c>
      <c r="B25" s="9">
        <v>32</v>
      </c>
      <c r="C25" s="10" t="s">
        <v>446</v>
      </c>
      <c r="D25" t="str">
        <f>+_xlfn.XLOOKUP(B25,polaris!$B$2:$B$785,polaris!$D$2:$D$785)</f>
        <v>HIDROLÓGICA</v>
      </c>
      <c r="E25"/>
      <c r="F25" s="26">
        <v>53119010</v>
      </c>
      <c r="G25" s="26" t="str" cm="1">
        <f t="array" ref="G25">+_xlfn.XLOOKUP(C25,Hoja1!$E$2:$E$420,Tabla1[Nombre])</f>
        <v>BUENAVENTURA IDEAM  - AUT [53119010]</v>
      </c>
      <c r="H25" t="str">
        <f>+_xlfn.XLOOKUP(F25,Tabla1[Codigo],Tabla1[Nombre])</f>
        <v>BUENAVENTURA IDEAM  - AUT [53119010]</v>
      </c>
      <c r="I25" t="str">
        <f>+_xlfn.XLOOKUP(F25,Hoja5!$C$2:$C$420,Hoja5!$G$2:$G$420)</f>
        <v>EN LINEA</v>
      </c>
      <c r="J25" t="str" cm="1">
        <f t="array" ref="J25">+_xlfn.XLOOKUP(F25,Hoja5!$C$2:$C$420,Hoja5!$H$2:H$420)</f>
        <v>GPRS</v>
      </c>
      <c r="L25" t="str">
        <f>+_xlfn.XLOOKUP(B25,polaris!$B$2:$B$785,polaris!$C$2:$C$785)</f>
        <v>BUENAVENTURA IDEAM  - AUT [53119010; VDC; HID;INMARSAT; AO09; FONDO ADAPTACION]</v>
      </c>
      <c r="M25" t="b">
        <f t="shared" si="0"/>
        <v>1</v>
      </c>
    </row>
    <row r="26" spans="1:13" x14ac:dyDescent="0.25">
      <c r="A26" s="9">
        <v>25</v>
      </c>
      <c r="B26" s="9">
        <v>33</v>
      </c>
      <c r="C26" s="10" t="s">
        <v>447</v>
      </c>
      <c r="D26" t="str">
        <f>+_xlfn.XLOOKUP(B26,polaris!$B$2:$B$785,polaris!$D$2:$D$785)</f>
        <v>METEOROLÓGICA</v>
      </c>
      <c r="E26"/>
      <c r="F26" s="26">
        <v>21215160</v>
      </c>
      <c r="G26" s="26" t="str" cm="1">
        <f t="array" ref="G26">+_xlfn.XLOOKUP(C26,Hoja1!$E$2:$E$420,Tabla1[Nombre])</f>
        <v>CERROS NOROCCIDENTALES  - AUT [21215160]</v>
      </c>
      <c r="H26" t="str">
        <f>+_xlfn.XLOOKUP(F26,Tabla1[Codigo],Tabla1[Nombre])</f>
        <v>CERROS NOROCCIDENTALES  - AUT [21215160]</v>
      </c>
      <c r="I26" t="str">
        <f>+_xlfn.XLOOKUP(F26,Hoja5!$C$2:$C$420,Hoja5!$G$2:$G$420)</f>
        <v>DESCONECTADO</v>
      </c>
      <c r="J26" t="str" cm="1">
        <f t="array" ref="J26">+_xlfn.XLOOKUP(F26,Hoja5!$C$2:$C$420,Hoja5!$H$2:H$420)</f>
        <v>GPRS</v>
      </c>
      <c r="L26" t="str">
        <f>+_xlfn.XLOOKUP(B26,polaris!$B$2:$B$785,polaris!$C$2:$C$785)</f>
        <v>CERROS NOROCCIDENTALES  - AUT [21215160; AO 10; MET; GPRS; FONDO ADAPTACION]</v>
      </c>
      <c r="M26" t="b">
        <f t="shared" si="0"/>
        <v>1</v>
      </c>
    </row>
    <row r="27" spans="1:13" x14ac:dyDescent="0.25">
      <c r="A27" s="9">
        <v>26</v>
      </c>
      <c r="B27" s="9">
        <v>34</v>
      </c>
      <c r="C27" s="10" t="s">
        <v>448</v>
      </c>
      <c r="D27" t="str">
        <f>+_xlfn.XLOOKUP(B27,polaris!$B$2:$B$785,polaris!$D$2:$D$785)</f>
        <v>HIDROLÓGICA</v>
      </c>
      <c r="E27"/>
      <c r="F27" s="26">
        <v>11057020</v>
      </c>
      <c r="G27" s="26" t="str" cm="1">
        <f t="array" ref="G27">+_xlfn.XLOOKUP(C27,Hoja1!$E$2:$E$420,Tabla1[Nombre])</f>
        <v>SAN ANTONIO PADUA  - AUT [11057020]</v>
      </c>
      <c r="H27" t="str">
        <f>+_xlfn.XLOOKUP(F27,Tabla1[Codigo],Tabla1[Nombre])</f>
        <v>SAN ANTONIO PADUA  - AUT [11057020]</v>
      </c>
      <c r="I27" t="str">
        <f>+_xlfn.XLOOKUP(F27,Hoja5!$C$2:$C$420,Hoja5!$G$2:$G$420)</f>
        <v>EN LINEA</v>
      </c>
      <c r="J27" t="str" cm="1">
        <f t="array" ref="J27">+_xlfn.XLOOKUP(F27,Hoja5!$C$2:$C$420,Hoja5!$H$2:H$420)</f>
        <v>GOES</v>
      </c>
      <c r="L27" t="str">
        <f>+_xlfn.XLOOKUP(B27,polaris!$B$2:$B$785,polaris!$C$2:$C$785)</f>
        <v>SAN ANTONIO PADUA [11057020; AO 01;FONDO ADAPTACION]</v>
      </c>
      <c r="M27" t="b">
        <f t="shared" si="0"/>
        <v>1</v>
      </c>
    </row>
    <row r="28" spans="1:13" x14ac:dyDescent="0.25">
      <c r="A28" s="9">
        <v>27</v>
      </c>
      <c r="B28" s="9">
        <v>37</v>
      </c>
      <c r="C28" s="10" t="s">
        <v>449</v>
      </c>
      <c r="D28" t="str">
        <f>+_xlfn.XLOOKUP(B28,polaris!$B$2:$B$785,polaris!$D$2:$D$785)</f>
        <v>METEOROLÓGICA</v>
      </c>
      <c r="E28"/>
      <c r="F28" s="26">
        <v>21215190</v>
      </c>
      <c r="G28" s="26" t="str" cm="1">
        <f t="array" ref="G28">+_xlfn.XLOOKUP(C28,Hoja1!$E$2:$E$420,Tabla1[Nombre])</f>
        <v>CAJAMARCA - AUT [21215190]</v>
      </c>
      <c r="H28" t="str">
        <f>+_xlfn.XLOOKUP(F28,Tabla1[Codigo],Tabla1[Nombre])</f>
        <v>CAJAMARCA - AUT [21215190]</v>
      </c>
      <c r="I28" t="str">
        <f>+_xlfn.XLOOKUP(F28,Hoja5!$C$2:$C$420,Hoja5!$G$2:$G$420)</f>
        <v>DESCONECTADO</v>
      </c>
      <c r="J28" t="str" cm="1">
        <f t="array" ref="J28">+_xlfn.XLOOKUP(F28,Hoja5!$C$2:$C$420,Hoja5!$H$2:H$420)</f>
        <v>GPRS</v>
      </c>
      <c r="L28" t="str">
        <f>+_xlfn.XLOOKUP(B28,polaris!$B$2:$B$785,polaris!$C$2:$C$785)</f>
        <v>CAJAMARCA - AUT [21215190; AO 10; MET; GPRS; FONDO ADAPTACION]</v>
      </c>
      <c r="M28" t="b">
        <f t="shared" si="0"/>
        <v>1</v>
      </c>
    </row>
    <row r="29" spans="1:13" x14ac:dyDescent="0.25">
      <c r="A29" s="9">
        <v>28</v>
      </c>
      <c r="B29" s="9">
        <v>38</v>
      </c>
      <c r="C29" s="10" t="s">
        <v>450</v>
      </c>
      <c r="D29" t="str">
        <f>+_xlfn.XLOOKUP(B29,polaris!$B$2:$B$785,polaris!$D$2:$D$785)</f>
        <v>METEOROLÓGICA</v>
      </c>
      <c r="E29"/>
      <c r="F29" s="26">
        <v>26125300</v>
      </c>
      <c r="G29" s="26" t="str" cm="1">
        <f t="array" ref="G29">+_xlfn.XLOOKUP(C29,Hoja1!$E$2:$E$420,Tabla1[Nombre])</f>
        <v>CALARCA - AUT [26125300]</v>
      </c>
      <c r="H29" t="str">
        <f>+_xlfn.XLOOKUP(F29,Tabla1[Codigo],Tabla1[Nombre])</f>
        <v>CALARCA - AUT [26125300]</v>
      </c>
      <c r="I29" t="str">
        <f>+_xlfn.XLOOKUP(F29,Hoja5!$C$2:$C$420,Hoja5!$G$2:$G$420)</f>
        <v>EN LINEA</v>
      </c>
      <c r="J29" t="str" cm="1">
        <f t="array" ref="J29">+_xlfn.XLOOKUP(F29,Hoja5!$C$2:$C$420,Hoja5!$H$2:H$420)</f>
        <v>GPRS</v>
      </c>
      <c r="L29" t="str">
        <f>+_xlfn.XLOOKUP(B29,polaris!$B$2:$B$785,polaris!$C$2:$C$785)</f>
        <v>CALARCA - AUT [26125300; AO 09; MET; GPRS; FONDO ADAPTACION]</v>
      </c>
      <c r="M29" t="b">
        <f t="shared" si="0"/>
        <v>1</v>
      </c>
    </row>
    <row r="30" spans="1:13" x14ac:dyDescent="0.25">
      <c r="A30" s="9">
        <v>29</v>
      </c>
      <c r="B30" s="9">
        <v>42</v>
      </c>
      <c r="C30" s="10" t="s">
        <v>451</v>
      </c>
      <c r="D30" t="str">
        <f>+_xlfn.XLOOKUP(B30,polaris!$B$2:$B$785,polaris!$D$2:$D$785)</f>
        <v>METEOROLÓGICA</v>
      </c>
      <c r="E30"/>
      <c r="F30" s="26">
        <v>35085080</v>
      </c>
      <c r="G30" s="26" t="str" cm="1">
        <f t="array" ref="G30">+_xlfn.XLOOKUP(C30,Hoja1!$E$2:$E$420,Tabla1[Nombre])</f>
        <v>LA CAPILLA - AUT [35085080]</v>
      </c>
      <c r="H30" t="str">
        <f>+_xlfn.XLOOKUP(F30,Tabla1[Codigo],Tabla1[Nombre])</f>
        <v>LA CAPILLA - AUT [35085080]</v>
      </c>
      <c r="I30" t="str">
        <f>+_xlfn.XLOOKUP(F30,Hoja5!$C$2:$C$420,Hoja5!$G$2:$G$420)</f>
        <v>EN LINEA</v>
      </c>
      <c r="J30" t="str" cm="1">
        <f t="array" ref="J30">+_xlfn.XLOOKUP(F30,Hoja5!$C$2:$C$420,Hoja5!$H$2:H$420)</f>
        <v>GPRS</v>
      </c>
      <c r="L30" t="str">
        <f>+_xlfn.XLOOKUP(B30,polaris!$B$2:$B$785,polaris!$C$2:$C$785)</f>
        <v>LA CAPILLA - AUT [35085080; AO 06; MET; GPRS;  FONDO ADAPTACION]</v>
      </c>
      <c r="M30" t="b">
        <f t="shared" si="0"/>
        <v>1</v>
      </c>
    </row>
    <row r="31" spans="1:13" x14ac:dyDescent="0.25">
      <c r="A31" s="9">
        <v>30</v>
      </c>
      <c r="B31" s="9">
        <v>43</v>
      </c>
      <c r="C31" s="10" t="s">
        <v>452</v>
      </c>
      <c r="D31" t="str">
        <f>+_xlfn.XLOOKUP(B31,polaris!$B$2:$B$785,polaris!$D$2:$D$785)</f>
        <v>METEOROLÓGICA</v>
      </c>
      <c r="E31"/>
      <c r="F31" s="26">
        <v>29015040</v>
      </c>
      <c r="G31" s="26" t="str" cm="1">
        <f t="array" ref="G31">+_xlfn.XLOOKUP(C31,Hoja1!$E$2:$E$420,Tabla1[Nombre])</f>
        <v>CARMEN DE BOLIVAR  - AUT [29015040]</v>
      </c>
      <c r="H31" t="str">
        <f>+_xlfn.XLOOKUP(F31,Tabla1[Codigo],Tabla1[Nombre])</f>
        <v>CARMEN DE BOLIVAR  - AUT [29015040]</v>
      </c>
      <c r="I31" t="str">
        <f>+_xlfn.XLOOKUP(F31,Hoja5!$C$2:$C$420,Hoja5!$G$2:$G$420)</f>
        <v>EN LINEA</v>
      </c>
      <c r="J31" t="str" cm="1">
        <f t="array" ref="J31">+_xlfn.XLOOKUP(F31,Hoja5!$C$2:$C$420,Hoja5!$H$2:H$420)</f>
        <v>GPRS</v>
      </c>
      <c r="L31" t="str">
        <f>+_xlfn.XLOOKUP(B31,polaris!$B$2:$B$785,polaris!$C$2:$C$785)</f>
        <v>CARMEN DE BOLIVAR  - AUT [29015040; AO 02; FONDO ADAPTACION ]</v>
      </c>
      <c r="M31" t="b">
        <f t="shared" si="0"/>
        <v>1</v>
      </c>
    </row>
    <row r="32" spans="1:13" x14ac:dyDescent="0.25">
      <c r="A32" s="9">
        <v>31</v>
      </c>
      <c r="B32" s="9">
        <v>44</v>
      </c>
      <c r="C32" s="10" t="s">
        <v>453</v>
      </c>
      <c r="D32" t="str">
        <f>+_xlfn.XLOOKUP(B32,polaris!$B$2:$B$785,polaris!$D$2:$D$785)</f>
        <v>METEOROLÓGICA</v>
      </c>
      <c r="E32"/>
      <c r="F32" s="26">
        <v>29035200</v>
      </c>
      <c r="G32" s="26" t="str" cm="1">
        <f t="array" ref="G32">+_xlfn.XLOOKUP(C32,Hoja1!$E$2:$E$420,Tabla1[Nombre])</f>
        <v>REPELON - AUT [29035200]</v>
      </c>
      <c r="H32" t="str">
        <f>+_xlfn.XLOOKUP(F32,Tabla1[Codigo],Tabla1[Nombre])</f>
        <v>REPELON - AUT [29035200]</v>
      </c>
      <c r="I32" t="str">
        <f>+_xlfn.XLOOKUP(F32,Hoja5!$C$2:$C$420,Hoja5!$G$2:$G$420)</f>
        <v>EN LINEA</v>
      </c>
      <c r="J32" t="str" cm="1">
        <f t="array" ref="J32">+_xlfn.XLOOKUP(F32,Hoja5!$C$2:$C$420,Hoja5!$H$2:H$420)</f>
        <v>GPRS</v>
      </c>
      <c r="L32" t="str">
        <f>+_xlfn.XLOOKUP(B32,polaris!$B$2:$B$785,polaris!$C$2:$C$785)</f>
        <v>REPELON - AUT [29035200; A0 02; FONDO ADAPTACION]</v>
      </c>
      <c r="M32" t="b">
        <f t="shared" si="0"/>
        <v>1</v>
      </c>
    </row>
    <row r="33" spans="1:13" x14ac:dyDescent="0.25">
      <c r="A33" s="9">
        <v>32</v>
      </c>
      <c r="B33" s="9">
        <v>45</v>
      </c>
      <c r="C33" s="10" t="s">
        <v>454</v>
      </c>
      <c r="D33" t="str">
        <f>+_xlfn.XLOOKUP(B33,polaris!$B$2:$B$785,polaris!$D$2:$D$785)</f>
        <v>METEOROLÓGICA</v>
      </c>
      <c r="E33"/>
      <c r="F33" s="26">
        <v>52055150</v>
      </c>
      <c r="G33" s="26" t="str" cm="1">
        <f t="array" ref="G33">+_xlfn.XLOOKUP(C33,Hoja1!$E$2:$E$420,Tabla1[Nombre])</f>
        <v>CERRO PARAMO  - AUT [52055150]</v>
      </c>
      <c r="H33" t="str">
        <f>+_xlfn.XLOOKUP(F33,Tabla1[Codigo],Tabla1[Nombre])</f>
        <v>CERRO PARAMO  - AUT [52055150]</v>
      </c>
      <c r="I33" t="str">
        <f>+_xlfn.XLOOKUP(F33,Hoja5!$C$2:$C$420,Hoja5!$G$2:$G$420)</f>
        <v>EN LINEA</v>
      </c>
      <c r="J33" t="str" cm="1">
        <f t="array" ref="J33">+_xlfn.XLOOKUP(F33,Hoja5!$C$2:$C$420,Hoja5!$H$2:H$420)</f>
        <v>GPRS</v>
      </c>
      <c r="L33" t="str">
        <f>+_xlfn.XLOOKUP(B33,polaris!$B$2:$B$785,polaris!$C$2:$C$785)</f>
        <v>CERRO PARAMO  - AUT [52055150;AO 07;FONDO ADAPTACIÓN]</v>
      </c>
      <c r="M33" t="b">
        <f t="shared" si="0"/>
        <v>1</v>
      </c>
    </row>
    <row r="34" spans="1:13" x14ac:dyDescent="0.25">
      <c r="A34" s="9">
        <v>33</v>
      </c>
      <c r="B34" s="9">
        <v>47</v>
      </c>
      <c r="C34" s="10" t="s">
        <v>455</v>
      </c>
      <c r="D34" t="str">
        <f>+_xlfn.XLOOKUP(B34,polaris!$B$2:$B$785,polaris!$D$2:$D$785)</f>
        <v>HIDROLÓGICA</v>
      </c>
      <c r="E34"/>
      <c r="F34" s="26">
        <v>35217010</v>
      </c>
      <c r="G34" s="26" t="str" cm="1">
        <f t="array" ref="G34">+_xlfn.XLOOKUP(C34,Hoja1!$E$2:$E$420,Tabla1[Nombre])</f>
        <v>PUENTE YOPAL  - AUT [35217010]</v>
      </c>
      <c r="H34" t="str">
        <f>+_xlfn.XLOOKUP(F34,Tabla1[Codigo],Tabla1[Nombre])</f>
        <v>PUENTE YOPAL  - AUT [35217010]</v>
      </c>
      <c r="I34" t="str">
        <f>+_xlfn.XLOOKUP(F34,Hoja5!$C$2:$C$420,Hoja5!$G$2:$G$420)</f>
        <v>EN LINEA</v>
      </c>
      <c r="J34" t="str" cm="1">
        <f t="array" ref="J34">+_xlfn.XLOOKUP(F34,Hoja5!$C$2:$C$420,Hoja5!$H$2:H$420)</f>
        <v>GPRS</v>
      </c>
      <c r="L34" t="str">
        <f>+_xlfn.XLOOKUP(B34,polaris!$B$2:$B$785,polaris!$C$2:$C$785)</f>
        <v>PUENTE YOPAL  - AUT [35217010;  AO 06; MET; GPRS; FONDO ADAPTACION]</v>
      </c>
      <c r="M34" t="b">
        <f t="shared" si="0"/>
        <v>1</v>
      </c>
    </row>
    <row r="35" spans="1:13" x14ac:dyDescent="0.25">
      <c r="A35" s="9">
        <v>34</v>
      </c>
      <c r="B35" s="9">
        <v>50</v>
      </c>
      <c r="C35" s="10" t="s">
        <v>456</v>
      </c>
      <c r="D35" t="str">
        <f>+_xlfn.XLOOKUP(B35,polaris!$B$2:$B$785,polaris!$D$2:$D$785)</f>
        <v>HIDROLÓGICA</v>
      </c>
      <c r="E35"/>
      <c r="F35" s="26">
        <v>21237020</v>
      </c>
      <c r="G35" s="26" t="str" cm="1">
        <f t="array" ref="G35">+_xlfn.XLOOKUP(C35,Hoja1!$E$2:$E$420,Tabla1[Nombre])</f>
        <v>ARRANCAPLUMAS  - AUT [21237020]</v>
      </c>
      <c r="H35" t="str">
        <f>+_xlfn.XLOOKUP(F35,Tabla1[Codigo],Tabla1[Nombre])</f>
        <v>ARRANCAPLUMAS  - AUT [21237020]</v>
      </c>
      <c r="I35" t="str">
        <f>+_xlfn.XLOOKUP(F35,Hoja5!$C$2:$C$420,Hoja5!$G$2:$G$420)</f>
        <v>OFFLINE MANUAL</v>
      </c>
      <c r="J35" t="str" cm="1">
        <f t="array" ref="J35">+_xlfn.XLOOKUP(F35,Hoja5!$C$2:$C$420,Hoja5!$H$2:H$420)</f>
        <v>PROC SUSPENSION</v>
      </c>
      <c r="L35" t="str">
        <f>+_xlfn.XLOOKUP(B35,polaris!$B$2:$B$785,polaris!$C$2:$C$785)</f>
        <v>ARRANCAPLUMAS  - AUT [21237020; PROCESO DE SUSPENSIÓN]</v>
      </c>
      <c r="M35" t="b">
        <f t="shared" si="0"/>
        <v>1</v>
      </c>
    </row>
    <row r="36" spans="1:13" x14ac:dyDescent="0.25">
      <c r="A36" s="9">
        <v>35</v>
      </c>
      <c r="B36" s="9">
        <v>51</v>
      </c>
      <c r="C36" s="10" t="s">
        <v>457</v>
      </c>
      <c r="D36" t="str">
        <f>+_xlfn.XLOOKUP(B36,polaris!$B$2:$B$785,polaris!$D$2:$D$785)</f>
        <v>METEOROLÓGICA</v>
      </c>
      <c r="E36"/>
      <c r="F36" s="26">
        <v>25025330</v>
      </c>
      <c r="G36" s="26" t="str" cm="1">
        <f t="array" ref="G36">+_xlfn.XLOOKUP(C36,Hoja1!$E$2:$E$420,Tabla1[Nombre])</f>
        <v>COLEGIO AGROPECUARIO PAILITAS  - AUT [25025330]</v>
      </c>
      <c r="H36" t="str">
        <f>+_xlfn.XLOOKUP(F36,Tabla1[Codigo],Tabla1[Nombre])</f>
        <v>COLEGIO AGROPECUARIO PAILITAS  - AUT [25025330]</v>
      </c>
      <c r="I36" t="str">
        <f>+_xlfn.XLOOKUP(F36,Hoja5!$C$2:$C$420,Hoja5!$G$2:$G$420)</f>
        <v>EN LINEA</v>
      </c>
      <c r="J36" t="str" cm="1">
        <f t="array" ref="J36">+_xlfn.XLOOKUP(F36,Hoja5!$C$2:$C$420,Hoja5!$H$2:H$420)</f>
        <v>GPRS</v>
      </c>
      <c r="L36" t="str">
        <f>+_xlfn.XLOOKUP(B36,polaris!$B$2:$B$785,polaris!$C$2:$C$785)</f>
        <v>COLEGIO AGROPECUARIO PAILITAS  - AUT [25025330; AO 05; MET; GPRS; FONDO ADAPTACION]</v>
      </c>
      <c r="M36" t="b">
        <f t="shared" si="0"/>
        <v>1</v>
      </c>
    </row>
    <row r="37" spans="1:13" x14ac:dyDescent="0.25">
      <c r="A37" s="9">
        <v>36</v>
      </c>
      <c r="B37" s="9">
        <v>53</v>
      </c>
      <c r="C37" s="10" t="s">
        <v>458</v>
      </c>
      <c r="D37" t="str">
        <f>+_xlfn.XLOOKUP(B37,polaris!$B$2:$B$785,polaris!$D$2:$D$785)</f>
        <v>HIDROLÓGICA</v>
      </c>
      <c r="E37"/>
      <c r="F37" s="26">
        <v>52017001</v>
      </c>
      <c r="G37" s="26" t="str" cm="1">
        <f t="array" ref="G37">+_xlfn.XLOOKUP(C37,Hoja1!$E$2:$E$420,Tabla1[Nombre])</f>
        <v>PUERTO NUEVO PATIA - AUT [52017001]</v>
      </c>
      <c r="H37" t="str">
        <f>+_xlfn.XLOOKUP(F37,Tabla1[Codigo],Tabla1[Nombre])</f>
        <v>PUERTO NUEVO PATIA - AUT [52017001]</v>
      </c>
      <c r="I37" t="str">
        <f>+_xlfn.XLOOKUP(F37,Hoja5!$C$2:$C$420,Hoja5!$G$2:$G$420)</f>
        <v>DESCONECTADO</v>
      </c>
      <c r="J37" t="str" cm="1">
        <f t="array" ref="J37">+_xlfn.XLOOKUP(F37,Hoja5!$C$2:$C$420,Hoja5!$H$2:H$420)</f>
        <v>INMARSAT</v>
      </c>
      <c r="L37" t="str">
        <f>+_xlfn.XLOOKUP(B37,polaris!$B$2:$B$785,polaris!$C$2:$C$785)</f>
        <v>PUERTO NUEVO PATIA - AUT [52017001;AO07;FONDO ADAPTACION]</v>
      </c>
      <c r="M37" t="b">
        <f t="shared" si="0"/>
        <v>1</v>
      </c>
    </row>
    <row r="38" spans="1:13" x14ac:dyDescent="0.25">
      <c r="A38" s="9">
        <v>37</v>
      </c>
      <c r="B38" s="9">
        <v>56</v>
      </c>
      <c r="C38" s="10" t="s">
        <v>459</v>
      </c>
      <c r="D38" t="str">
        <f>+_xlfn.XLOOKUP(B38,polaris!$B$2:$B$785,polaris!$D$2:$D$785)</f>
        <v>METEOROLÓGICA</v>
      </c>
      <c r="E38"/>
      <c r="F38" s="26">
        <v>2604500039</v>
      </c>
      <c r="G38" s="26" t="str" cm="1">
        <f t="array" ref="G38">+_xlfn.XLOOKUP(C38,Hoja1!$E$2:$E$420,Tabla1[Nombre])</f>
        <v>CORINTO - AUT  [2604500039]</v>
      </c>
      <c r="H38" t="str">
        <f>+_xlfn.XLOOKUP(F38,Tabla1[Codigo],Tabla1[Nombre])</f>
        <v>CORINTO - AUT  [2604500039]</v>
      </c>
      <c r="I38" t="str">
        <f>+_xlfn.XLOOKUP(F38,Hoja5!$C$2:$C$420,Hoja5!$G$2:$G$420)</f>
        <v>DESCONECTADO</v>
      </c>
      <c r="J38" t="str" cm="1">
        <f t="array" ref="J38">+_xlfn.XLOOKUP(F38,Hoja5!$C$2:$C$420,Hoja5!$H$2:H$420)</f>
        <v>GPRS</v>
      </c>
      <c r="L38" t="str">
        <f>+_xlfn.XLOOKUP(B38,polaris!$B$2:$B$785,polaris!$C$2:$C$785)</f>
        <v>CORINTO - AUT  [2604500039; AO 09; MET; GPRS; FONDO ADAPTACION]</v>
      </c>
      <c r="M38" t="b">
        <f t="shared" si="0"/>
        <v>1</v>
      </c>
    </row>
    <row r="39" spans="1:13" x14ac:dyDescent="0.25">
      <c r="A39" s="9">
        <v>38</v>
      </c>
      <c r="B39" s="9">
        <v>57</v>
      </c>
      <c r="C39" s="10" t="s">
        <v>460</v>
      </c>
      <c r="D39" t="str">
        <f>+_xlfn.XLOOKUP(B39,polaris!$B$2:$B$785,polaris!$D$2:$D$785)</f>
        <v>METEOROLÓGICA</v>
      </c>
      <c r="E39"/>
      <c r="F39" s="26">
        <v>21205910</v>
      </c>
      <c r="G39" s="26" t="str" cm="1">
        <f t="array" ref="G39">+_xlfn.XLOOKUP(C39,Hoja1!$E$2:$E$420,Tabla1[Nombre])</f>
        <v>LA COSECHA - AUT [21205910]</v>
      </c>
      <c r="H39" t="str">
        <f>+_xlfn.XLOOKUP(F39,Tabla1[Codigo],Tabla1[Nombre])</f>
        <v>LA COSECHA - AUT [21205910]</v>
      </c>
      <c r="I39" t="str">
        <f>+_xlfn.XLOOKUP(F39,Hoja5!$C$2:$C$420,Hoja5!$G$2:$G$420)</f>
        <v>EN LINEA</v>
      </c>
      <c r="J39" t="str" cm="1">
        <f t="array" ref="J39">+_xlfn.XLOOKUP(F39,Hoja5!$C$2:$C$420,Hoja5!$H$2:H$420)</f>
        <v>GPRS</v>
      </c>
      <c r="L39" t="str">
        <f>+_xlfn.XLOOKUP(B39,polaris!$B$2:$B$785,polaris!$C$2:$C$785)</f>
        <v>LA COSECHA [21205910; AO11; FONDO ADAPTACION]</v>
      </c>
      <c r="M39" t="b">
        <f t="shared" si="0"/>
        <v>1</v>
      </c>
    </row>
    <row r="40" spans="1:13" x14ac:dyDescent="0.25">
      <c r="A40" s="9">
        <v>39</v>
      </c>
      <c r="B40" s="9">
        <v>58</v>
      </c>
      <c r="C40" s="10" t="s">
        <v>461</v>
      </c>
      <c r="D40" t="str">
        <f>+_xlfn.XLOOKUP(B40,polaris!$B$2:$B$785,polaris!$D$2:$D$785)</f>
        <v>METEOROLÓGICA</v>
      </c>
      <c r="E40"/>
      <c r="F40" s="26">
        <v>26225060</v>
      </c>
      <c r="G40" s="26" t="str" cm="1">
        <f t="array" ref="G40">+_xlfn.XLOOKUP(C40,Hoja1!$E$2:$E$420,Tabla1[Nombre])</f>
        <v>HACIENDA COTOVE - AUT [26225060]</v>
      </c>
      <c r="H40" t="str">
        <f>+_xlfn.XLOOKUP(F40,Tabla1[Codigo],Tabla1[Nombre])</f>
        <v>HACIENDA COTOVE - AUT [26225060]</v>
      </c>
      <c r="I40" t="str">
        <f>+_xlfn.XLOOKUP(F40,Hoja5!$C$2:$C$420,Hoja5!$G$2:$G$420)</f>
        <v>EN LINEA</v>
      </c>
      <c r="J40" t="str" cm="1">
        <f t="array" ref="J40">+_xlfn.XLOOKUP(F40,Hoja5!$C$2:$C$420,Hoja5!$H$2:H$420)</f>
        <v>GPRS</v>
      </c>
      <c r="L40" t="str">
        <f>+_xlfn.XLOOKUP(B40,polaris!$B$2:$B$785,polaris!$C$2:$C$785)</f>
        <v>HACIENDA COTOVE [26225060;AO 01;FONDO ADAPTACION]</v>
      </c>
      <c r="M40" t="b">
        <f t="shared" si="0"/>
        <v>1</v>
      </c>
    </row>
    <row r="41" spans="1:13" x14ac:dyDescent="0.25">
      <c r="A41" s="9">
        <v>40</v>
      </c>
      <c r="B41" s="9">
        <v>59</v>
      </c>
      <c r="C41" s="10" t="s">
        <v>462</v>
      </c>
      <c r="D41" t="str">
        <f>+_xlfn.XLOOKUP(B41,polaris!$B$2:$B$785,polaris!$D$2:$D$785)</f>
        <v>METEOROLÓGICA</v>
      </c>
      <c r="E41"/>
      <c r="F41" s="26">
        <v>22045010</v>
      </c>
      <c r="G41" s="26" t="str" cm="1">
        <f t="array" ref="G41">+_xlfn.XLOOKUP(C41,Hoja1!$E$2:$E$420,Tabla1[Nombre])</f>
        <v>DEMOSTRACION GRANJA  - AUT [22045010]</v>
      </c>
      <c r="H41" t="str">
        <f>+_xlfn.XLOOKUP(F41,Tabla1[Codigo],Tabla1[Nombre])</f>
        <v>DEMOSTRACION GRANJA  - AUT [22045010]</v>
      </c>
      <c r="I41" t="str">
        <f>+_xlfn.XLOOKUP(F41,Hoja5!$C$2:$C$420,Hoja5!$G$2:$G$420)</f>
        <v>DESCONECTADO</v>
      </c>
      <c r="J41" t="str" cm="1">
        <f t="array" ref="J41">+_xlfn.XLOOKUP(F41,Hoja5!$C$2:$C$420,Hoja5!$H$2:H$420)</f>
        <v>GPRS</v>
      </c>
      <c r="L41" t="str">
        <f>+_xlfn.XLOOKUP(B41,polaris!$B$2:$B$785,polaris!$C$2:$C$785)</f>
        <v>DEMOSTRACION GRANJA  - AUT [22045010; AO 10; MET; GPRS; FONDO ADAPTACION]</v>
      </c>
      <c r="M41" t="b">
        <f t="shared" si="0"/>
        <v>1</v>
      </c>
    </row>
    <row r="42" spans="1:13" x14ac:dyDescent="0.25">
      <c r="A42" s="9">
        <v>41</v>
      </c>
      <c r="B42" s="9">
        <v>60</v>
      </c>
      <c r="C42" s="10" t="s">
        <v>819</v>
      </c>
      <c r="D42" t="str">
        <f>+_xlfn.XLOOKUP(B42,polaris!$B$2:$B$785,polaris!$D$2:$D$785)</f>
        <v>METEOROLÓGICA</v>
      </c>
      <c r="E42"/>
      <c r="F42" s="26">
        <v>52010020</v>
      </c>
      <c r="G42" s="26" t="str" cm="1">
        <f t="array" ref="G42">+_xlfn.XLOOKUP(C42,Hoja1!$E$2:$E$420,Tabla1[Nombre])</f>
        <v>BALBOA [52010020]</v>
      </c>
      <c r="H42" t="str">
        <f>+_xlfn.XLOOKUP(F42,Tabla1[Codigo],Tabla1[Nombre])</f>
        <v>BALBOA [52010020]</v>
      </c>
      <c r="I42" t="str">
        <f>+_xlfn.XLOOKUP(F42,Hoja5!$C$2:$C$420,Hoja5!$G$2:$G$420)</f>
        <v>EN LINEA</v>
      </c>
      <c r="J42" t="str" cm="1">
        <f t="array" ref="J42">+_xlfn.XLOOKUP(F42,Hoja5!$C$2:$C$420,Hoja5!$H$2:H$420)</f>
        <v>GOES</v>
      </c>
      <c r="L42" t="str">
        <f>+_xlfn.XLOOKUP(B42,polaris!$B$2:$B$785,polaris!$C$2:$C$785)</f>
        <v>BALBOA - AUT [52010020, AO07; FONDO ADAPTACION]</v>
      </c>
      <c r="M42" t="b">
        <f t="shared" si="0"/>
        <v>0</v>
      </c>
    </row>
    <row r="43" spans="1:13" x14ac:dyDescent="0.25">
      <c r="A43" s="9">
        <v>42</v>
      </c>
      <c r="B43" s="9">
        <v>62</v>
      </c>
      <c r="C43" s="10" t="s">
        <v>464</v>
      </c>
      <c r="D43" t="str">
        <f>+_xlfn.XLOOKUP(B43,polaris!$B$2:$B$785,polaris!$D$2:$D$785)</f>
        <v>METEOROLÓGICA</v>
      </c>
      <c r="E43"/>
      <c r="F43" s="26">
        <v>26075120</v>
      </c>
      <c r="G43" s="26" t="str" cm="1">
        <f t="array" ref="G43">+_xlfn.XLOOKUP(C43,Hoja1!$E$2:$E$420,Tabla1[Nombre])</f>
        <v>LA DIANA - AUT [26075120]</v>
      </c>
      <c r="H43" t="str">
        <f>+_xlfn.XLOOKUP(F43,Tabla1[Codigo],Tabla1[Nombre])</f>
        <v>LA DIANA - AUT [26075120]</v>
      </c>
      <c r="I43" t="str">
        <f>+_xlfn.XLOOKUP(F43,Hoja5!$C$2:$C$420,Hoja5!$G$2:$G$420)</f>
        <v>EN LINEA</v>
      </c>
      <c r="J43" t="str" cm="1">
        <f t="array" ref="J43">+_xlfn.XLOOKUP(F43,Hoja5!$C$2:$C$420,Hoja5!$H$2:H$420)</f>
        <v>GPRS</v>
      </c>
      <c r="L43" t="str">
        <f>+_xlfn.XLOOKUP(B43,polaris!$B$2:$B$785,polaris!$C$2:$C$785)</f>
        <v>LA DIANA - AUT [26075120; AO 09; MET; GPRS; FONDO ADAPTACION]</v>
      </c>
      <c r="M43" t="b">
        <f t="shared" si="0"/>
        <v>1</v>
      </c>
    </row>
    <row r="44" spans="1:13" x14ac:dyDescent="0.25">
      <c r="A44" s="9">
        <v>43</v>
      </c>
      <c r="B44" s="9">
        <v>63</v>
      </c>
      <c r="C44" s="10" t="s">
        <v>465</v>
      </c>
      <c r="D44" t="str">
        <f>+_xlfn.XLOOKUP(B44,polaris!$B$2:$B$785,polaris!$D$2:$D$785)</f>
        <v>METEOROLÓGICA</v>
      </c>
      <c r="E44"/>
      <c r="F44" s="26">
        <v>53075020</v>
      </c>
      <c r="G44" s="26" t="str" cm="1">
        <f t="array" ref="G44">+_xlfn.XLOOKUP(C44,Hoja1!$E$2:$E$420,Tabla1[Nombre])</f>
        <v>EL DIVISO - AUT [53075020]</v>
      </c>
      <c r="H44" t="str">
        <f>+_xlfn.XLOOKUP(F44,Tabla1[Codigo],Tabla1[Nombre])</f>
        <v>EL DIVISO - AUT [53075020]</v>
      </c>
      <c r="I44" t="str">
        <f>+_xlfn.XLOOKUP(F44,Hoja5!$C$2:$C$420,Hoja5!$G$2:$G$420)</f>
        <v>OFFLINE MANUAL</v>
      </c>
      <c r="J44" t="str" cm="1">
        <f t="array" ref="J44">+_xlfn.XLOOKUP(F44,Hoja5!$C$2:$C$420,Hoja5!$H$2:H$420)</f>
        <v>ORDEN PÚBLICO</v>
      </c>
      <c r="L44" t="str">
        <f>+_xlfn.XLOOKUP(B44,polaris!$B$2:$B$785,polaris!$C$2:$C$785)</f>
        <v>EL DIVISO - AUT [53075020; AO07; ORDEN PUBLICO]</v>
      </c>
      <c r="M44" t="b">
        <f t="shared" si="0"/>
        <v>1</v>
      </c>
    </row>
    <row r="45" spans="1:13" x14ac:dyDescent="0.25">
      <c r="A45" s="9">
        <v>44</v>
      </c>
      <c r="B45" s="9">
        <v>64</v>
      </c>
      <c r="C45" s="10" t="s">
        <v>466</v>
      </c>
      <c r="D45" t="str">
        <f>+_xlfn.XLOOKUP(B45,polaris!$B$2:$B$785,polaris!$D$2:$D$785)</f>
        <v>METEOROLÓGICA</v>
      </c>
      <c r="E45"/>
      <c r="F45" s="26">
        <v>2403500041</v>
      </c>
      <c r="G45" s="26" t="str" cm="1">
        <f t="array" ref="G45">+_xlfn.XLOOKUP(C45,Hoja1!$E$2:$E$420,Tabla1[Nombre])</f>
        <v>DUITAMA - AUT  [2403500041]</v>
      </c>
      <c r="H45" t="str">
        <f>+_xlfn.XLOOKUP(F45,Tabla1[Codigo],Tabla1[Nombre])</f>
        <v>DUITAMA - AUT  [2403500041]</v>
      </c>
      <c r="I45" t="str">
        <f>+_xlfn.XLOOKUP(F45,Hoja5!$C$2:$C$420,Hoja5!$G$2:$G$420)</f>
        <v>EN LINEA</v>
      </c>
      <c r="J45" t="str" cm="1">
        <f t="array" ref="J45">+_xlfn.XLOOKUP(F45,Hoja5!$C$2:$C$420,Hoja5!$H$2:H$420)</f>
        <v>GPRS</v>
      </c>
      <c r="L45" t="str">
        <f>+_xlfn.XLOOKUP(B45,polaris!$B$2:$B$785,polaris!$C$2:$C$785)</f>
        <v>DUITAMA - AUT  [2403500041; AO 06; MET; GPRS; FONDO ADAPTACION]</v>
      </c>
      <c r="M45" t="b">
        <f t="shared" si="0"/>
        <v>1</v>
      </c>
    </row>
    <row r="46" spans="1:13" x14ac:dyDescent="0.25">
      <c r="A46" s="9">
        <v>45</v>
      </c>
      <c r="B46" s="9">
        <v>66</v>
      </c>
      <c r="C46" s="10" t="s">
        <v>467</v>
      </c>
      <c r="D46" t="str">
        <f>+_xlfn.XLOOKUP(B46,polaris!$B$2:$B$785,polaris!$D$2:$D$785)</f>
        <v>METEOROLÓGICA</v>
      </c>
      <c r="E46"/>
      <c r="F46" s="26">
        <v>24035370</v>
      </c>
      <c r="G46" s="26" t="str" cm="1">
        <f t="array" ref="G46">+_xlfn.XLOOKUP(C46,Hoja1!$E$2:$E$420,Tabla1[Nombre])</f>
        <v>EL ESPINO - AUT [24035370]</v>
      </c>
      <c r="H46" t="str">
        <f>+_xlfn.XLOOKUP(F46,Tabla1[Codigo],Tabla1[Nombre])</f>
        <v>EL ESPINO - AUT [24035370]</v>
      </c>
      <c r="I46" t="str">
        <f>+_xlfn.XLOOKUP(F46,Hoja5!$C$2:$C$420,Hoja5!$G$2:$G$420)</f>
        <v>EN LINEA</v>
      </c>
      <c r="J46" t="str" cm="1">
        <f t="array" ref="J46">+_xlfn.XLOOKUP(F46,Hoja5!$C$2:$C$420,Hoja5!$H$2:H$420)</f>
        <v>GPRS</v>
      </c>
      <c r="L46" t="str">
        <f>+_xlfn.XLOOKUP(B46,polaris!$B$2:$B$785,polaris!$C$2:$C$785)</f>
        <v>EL ESPINO - AUT [24035370;  AO 06; MET; GPRS; FONDO ADAPTACION]</v>
      </c>
      <c r="M46" t="b">
        <f t="shared" si="0"/>
        <v>1</v>
      </c>
    </row>
    <row r="47" spans="1:13" x14ac:dyDescent="0.25">
      <c r="A47" s="9">
        <v>46</v>
      </c>
      <c r="B47" s="9">
        <v>67</v>
      </c>
      <c r="C47" s="10" t="s">
        <v>468</v>
      </c>
      <c r="D47" t="str">
        <f>+_xlfn.XLOOKUP(B47,polaris!$B$2:$B$785,polaris!$D$2:$D$785)</f>
        <v>METEOROLÓGICA</v>
      </c>
      <c r="E47"/>
      <c r="F47" s="26">
        <v>52025080</v>
      </c>
      <c r="G47" s="26" t="str" cm="1">
        <f t="array" ref="G47">+_xlfn.XLOOKUP(C47,Hoja1!$E$2:$E$420,Tabla1[Nombre])</f>
        <v>ESTRECHO PATIA  - AUT [52025080]</v>
      </c>
      <c r="H47" t="str">
        <f>+_xlfn.XLOOKUP(F47,Tabla1[Codigo],Tabla1[Nombre])</f>
        <v>ESTRECHO PATIA  - AUT [52025080]</v>
      </c>
      <c r="I47" t="str">
        <f>+_xlfn.XLOOKUP(F47,Hoja5!$C$2:$C$420,Hoja5!$G$2:$G$420)</f>
        <v>DESCONECTADO</v>
      </c>
      <c r="J47" t="str" cm="1">
        <f t="array" ref="J47">+_xlfn.XLOOKUP(F47,Hoja5!$C$2:$C$420,Hoja5!$H$2:H$420)</f>
        <v>GPRS</v>
      </c>
      <c r="L47" t="str">
        <f>+_xlfn.XLOOKUP(B47,polaris!$B$2:$B$785,polaris!$C$2:$C$785)</f>
        <v>ESTRECHO PATIA  - AUT [52025080; AO 07; MET; GPRS; FONDO ADAPTACIÓN ]</v>
      </c>
      <c r="M47" t="b">
        <f t="shared" si="0"/>
        <v>1</v>
      </c>
    </row>
    <row r="48" spans="1:13" x14ac:dyDescent="0.25">
      <c r="A48" s="9">
        <v>47</v>
      </c>
      <c r="B48" s="9">
        <v>68</v>
      </c>
      <c r="C48" s="10" t="s">
        <v>469</v>
      </c>
      <c r="D48" t="str">
        <f>+_xlfn.XLOOKUP(B48,polaris!$B$2:$B$785,polaris!$D$2:$D$785)</f>
        <v>METEOROLÓGICA</v>
      </c>
      <c r="E48"/>
      <c r="F48" s="26">
        <v>26055100</v>
      </c>
      <c r="G48" s="26" t="str" cm="1">
        <f t="array" ref="G48">+_xlfn.XLOOKUP(C48,Hoja1!$E$2:$E$420,Tabla1[Nombre])</f>
        <v>FARALLONES - AUT [26055100]</v>
      </c>
      <c r="H48" t="str">
        <f>+_xlfn.XLOOKUP(F48,Tabla1[Codigo],Tabla1[Nombre])</f>
        <v>FARALLONES - AUT [26055100]</v>
      </c>
      <c r="I48" t="str">
        <f>+_xlfn.XLOOKUP(F48,Hoja5!$C$2:$C$420,Hoja5!$G$2:$G$420)</f>
        <v>EN LINEA</v>
      </c>
      <c r="J48" t="str" cm="1">
        <f t="array" ref="J48">+_xlfn.XLOOKUP(F48,Hoja5!$C$2:$C$420,Hoja5!$H$2:H$420)</f>
        <v>GOES</v>
      </c>
      <c r="L48" t="str">
        <f>+_xlfn.XLOOKUP(B48,polaris!$B$2:$B$785,polaris!$C$2:$C$785)</f>
        <v>FARALLONES - AUT [26055100; VDC; MET; GOES: CB10BF3A ; AO09; FONDO ADAPTACION]</v>
      </c>
      <c r="M48" t="b">
        <f t="shared" si="0"/>
        <v>1</v>
      </c>
    </row>
    <row r="49" spans="1:13" x14ac:dyDescent="0.25">
      <c r="A49" s="9">
        <v>48</v>
      </c>
      <c r="B49" s="9">
        <v>69</v>
      </c>
      <c r="C49" s="10" t="s">
        <v>470</v>
      </c>
      <c r="D49" t="str">
        <f>+_xlfn.XLOOKUP(B49,polaris!$B$2:$B$785,polaris!$D$2:$D$785)</f>
        <v>METEOROLÓGICA</v>
      </c>
      <c r="E49"/>
      <c r="F49" s="26">
        <v>28035060</v>
      </c>
      <c r="G49" s="26" t="str" cm="1">
        <f t="array" ref="G49">+_xlfn.XLOOKUP(C49,Hoja1!$E$2:$E$420,Tabla1[Nombre])</f>
        <v>FEDEARROZ - AUT [28035060]</v>
      </c>
      <c r="H49" t="str">
        <f>+_xlfn.XLOOKUP(F49,Tabla1[Codigo],Tabla1[Nombre])</f>
        <v>FEDEARROZ - AUT [28035060]</v>
      </c>
      <c r="I49" t="str">
        <f>+_xlfn.XLOOKUP(F49,Hoja5!$C$2:$C$420,Hoja5!$G$2:$G$420)</f>
        <v>EN LINEA</v>
      </c>
      <c r="J49" t="str" cm="1">
        <f t="array" ref="J49">+_xlfn.XLOOKUP(F49,Hoja5!$C$2:$C$420,Hoja5!$H$2:H$420)</f>
        <v>GPRS</v>
      </c>
      <c r="L49" t="str">
        <f>+_xlfn.XLOOKUP(B49,polaris!$B$2:$B$785,polaris!$C$2:$C$785)</f>
        <v>FEDEARROZ - AUT [28035060; AO 05; MET; GPRS; FONDO ADAPTACION]</v>
      </c>
      <c r="M49" t="b">
        <f t="shared" si="0"/>
        <v>1</v>
      </c>
    </row>
    <row r="50" spans="1:13" x14ac:dyDescent="0.25">
      <c r="A50" s="9">
        <v>49</v>
      </c>
      <c r="B50" s="9">
        <v>70</v>
      </c>
      <c r="C50" s="10" t="s">
        <v>471</v>
      </c>
      <c r="D50" t="str">
        <f>+_xlfn.XLOOKUP(B50,polaris!$B$2:$B$785,polaris!$D$2:$D$785)</f>
        <v>METEOROLÓGICA</v>
      </c>
      <c r="E50"/>
      <c r="F50" s="26">
        <v>44035040</v>
      </c>
      <c r="G50" s="26" t="str" cm="1">
        <f t="array" ref="G50">+_xlfn.XLOOKUP(C50,Hoja1!$E$2:$E$420,Tabla1[Nombre])</f>
        <v>FLORENCIA - AUT [44035040]</v>
      </c>
      <c r="H50" t="str">
        <f>+_xlfn.XLOOKUP(F50,Tabla1[Codigo],Tabla1[Nombre])</f>
        <v>FLORENCIA - AUT [44035040]</v>
      </c>
      <c r="I50" t="str">
        <f>+_xlfn.XLOOKUP(F50,Hoja5!$C$2:$C$420,Hoja5!$G$2:$G$420)</f>
        <v>EN LINEA</v>
      </c>
      <c r="J50" t="str" cm="1">
        <f t="array" ref="J50">+_xlfn.XLOOKUP(F50,Hoja5!$C$2:$C$420,Hoja5!$H$2:H$420)</f>
        <v>GPRS</v>
      </c>
      <c r="L50" t="str">
        <f>+_xlfn.XLOOKUP(B50,polaris!$B$2:$B$785,polaris!$C$2:$C$785)</f>
        <v>FLORENCIA - AUT [44035040; AO 04; MET; GPRS; FONDO ADAPTACION]</v>
      </c>
      <c r="M50" t="b">
        <f t="shared" si="0"/>
        <v>1</v>
      </c>
    </row>
    <row r="51" spans="1:13" x14ac:dyDescent="0.25">
      <c r="A51" s="9">
        <v>50</v>
      </c>
      <c r="B51" s="9">
        <v>71</v>
      </c>
      <c r="C51" s="10" t="s">
        <v>472</v>
      </c>
      <c r="D51" t="str">
        <f>+_xlfn.XLOOKUP(B51,polaris!$B$2:$B$785,polaris!$D$2:$D$785)</f>
        <v>HIDROLÓGICA</v>
      </c>
      <c r="E51"/>
      <c r="F51" s="26">
        <v>44037040</v>
      </c>
      <c r="G51" s="26" t="str" cm="1">
        <f t="array" ref="G51">+_xlfn.XLOOKUP(C51,Hoja1!$E$2:$E$420,Tabla1[Nombre])</f>
        <v>EL ROSARIO - AUT [44037040]</v>
      </c>
      <c r="H51" t="str">
        <f>+_xlfn.XLOOKUP(F51,Tabla1[Codigo],Tabla1[Nombre])</f>
        <v>EL ROSARIO - AUT [44037040]</v>
      </c>
      <c r="I51" t="str">
        <f>+_xlfn.XLOOKUP(F51,Hoja5!$C$2:$C$420,Hoja5!$G$2:$G$420)</f>
        <v>DESCONECTADO</v>
      </c>
      <c r="J51" t="str" cm="1">
        <f t="array" ref="J51">+_xlfn.XLOOKUP(F51,Hoja5!$C$2:$C$420,Hoja5!$H$2:H$420)</f>
        <v>INMARSAT</v>
      </c>
      <c r="L51" t="str">
        <f>+_xlfn.XLOOKUP(B51,polaris!$B$2:$B$785,polaris!$C$2:$C$785)</f>
        <v>EL ROSARIO - AUT [44037040;CAQ;HID;INMARSAT; AO04; FONDO ADAPTACION]</v>
      </c>
      <c r="M51" t="b">
        <f t="shared" si="0"/>
        <v>1</v>
      </c>
    </row>
    <row r="52" spans="1:13" x14ac:dyDescent="0.25">
      <c r="A52" s="9">
        <v>51</v>
      </c>
      <c r="B52" s="9">
        <v>72</v>
      </c>
      <c r="C52" s="10" t="s">
        <v>473</v>
      </c>
      <c r="D52" t="str">
        <f>+_xlfn.XLOOKUP(B52,polaris!$B$2:$B$785,polaris!$D$2:$D$785)</f>
        <v>METEOROLÓGICA</v>
      </c>
      <c r="E52"/>
      <c r="F52" s="26">
        <v>29004520</v>
      </c>
      <c r="G52" s="26" t="str" cm="1">
        <f t="array" ref="G52">+_xlfn.XLOOKUP(C52,Hoja1!$E$2:$E$420,Tabla1[Nombre])</f>
        <v>ESCUELA NAVAL BARRANQUILLA  - AUT [29004520]</v>
      </c>
      <c r="H52" t="str">
        <f>+_xlfn.XLOOKUP(F52,Tabla1[Codigo],Tabla1[Nombre])</f>
        <v>ESCUELA NAVAL BARRANQUILLA  - AUT [29004520]</v>
      </c>
      <c r="I52" t="str">
        <f>+_xlfn.XLOOKUP(F52,Hoja5!$C$2:$C$420,Hoja5!$G$2:$G$420)</f>
        <v>EN LINEA</v>
      </c>
      <c r="J52" t="str" cm="1">
        <f t="array" ref="J52">+_xlfn.XLOOKUP(F52,Hoja5!$C$2:$C$420,Hoja5!$H$2:H$420)</f>
        <v>GPRS</v>
      </c>
      <c r="L52" t="str">
        <f>+_xlfn.XLOOKUP(B52,polaris!$B$2:$B$785,polaris!$C$2:$C$785)</f>
        <v>ESCUELA NAVAL BARRANQUILLA  - AUT [29004520; AO 02; FONDO ADAPTACION]</v>
      </c>
      <c r="M52" t="b">
        <f t="shared" si="0"/>
        <v>1</v>
      </c>
    </row>
    <row r="53" spans="1:13" x14ac:dyDescent="0.25">
      <c r="A53" s="9">
        <v>52</v>
      </c>
      <c r="B53" s="9">
        <v>73</v>
      </c>
      <c r="C53" s="10" t="s">
        <v>474</v>
      </c>
      <c r="D53" t="str">
        <f>+_xlfn.XLOOKUP(B53,polaris!$B$2:$B$785,polaris!$D$2:$D$785)</f>
        <v>METEOROLÓGICA</v>
      </c>
      <c r="E53"/>
      <c r="F53" s="26">
        <v>24015300</v>
      </c>
      <c r="G53" s="26" t="str" cm="1">
        <f t="array" ref="G53">+_xlfn.XLOOKUP(C53,Hoja1!$E$2:$E$420,Tabla1[Nombre])</f>
        <v>VILLA DE LEIVA  - AUT [24015300]</v>
      </c>
      <c r="H53" t="str">
        <f>+_xlfn.XLOOKUP(F53,Tabla1[Codigo],Tabla1[Nombre])</f>
        <v>VILLA DE LEIVA  - AUT [24015300]</v>
      </c>
      <c r="I53" t="str">
        <f>+_xlfn.XLOOKUP(F53,Hoja5!$C$2:$C$420,Hoja5!$G$2:$G$420)</f>
        <v>EN LINEA</v>
      </c>
      <c r="J53" t="str" cm="1">
        <f t="array" ref="J53">+_xlfn.XLOOKUP(F53,Hoja5!$C$2:$C$420,Hoja5!$H$2:H$420)</f>
        <v>GPRS</v>
      </c>
      <c r="L53" t="str">
        <f>+_xlfn.XLOOKUP(B53,polaris!$B$2:$B$785,polaris!$C$2:$C$785)</f>
        <v>VILLA DE LEIVA  - AUT [24015300; AO06; MET; GPRS; FONDO ADAPTACION]</v>
      </c>
      <c r="M53" t="b">
        <f t="shared" si="0"/>
        <v>1</v>
      </c>
    </row>
    <row r="54" spans="1:13" x14ac:dyDescent="0.25">
      <c r="A54" s="9">
        <v>53</v>
      </c>
      <c r="B54" s="9">
        <v>74</v>
      </c>
      <c r="C54" s="10" t="s">
        <v>475</v>
      </c>
      <c r="D54" t="str">
        <f>+_xlfn.XLOOKUP(B54,polaris!$B$2:$B$785,polaris!$D$2:$D$785)</f>
        <v>METEOROLÓGICA</v>
      </c>
      <c r="E54"/>
      <c r="F54" s="26">
        <v>3507500046</v>
      </c>
      <c r="G54" s="26" t="str" cm="1">
        <f t="array" ref="G54">+_xlfn.XLOOKUP(C54,Hoja1!$E$2:$E$420,Tabla1[Nombre])</f>
        <v>GRANJA GUAYATA - AUT   [3507500046]</v>
      </c>
      <c r="H54" t="str">
        <f>+_xlfn.XLOOKUP(F54,Tabla1[Codigo],Tabla1[Nombre])</f>
        <v>GRANJA GUAYATA - AUT   [3507500046]</v>
      </c>
      <c r="I54" t="str">
        <f>+_xlfn.XLOOKUP(F54,Hoja5!$C$2:$C$420,Hoja5!$G$2:$G$420)</f>
        <v>EN LINEA</v>
      </c>
      <c r="J54" t="str" cm="1">
        <f t="array" ref="J54">+_xlfn.XLOOKUP(F54,Hoja5!$C$2:$C$420,Hoja5!$H$2:H$420)</f>
        <v>GPRS</v>
      </c>
      <c r="L54" t="str">
        <f>+_xlfn.XLOOKUP(B54,polaris!$B$2:$B$785,polaris!$C$2:$C$785)</f>
        <v>GRANJA GUAYATA - AUT   [3507500046;; MET; AO06; FONDO ADAPTACION]</v>
      </c>
      <c r="M54" t="b">
        <f t="shared" si="0"/>
        <v>1</v>
      </c>
    </row>
    <row r="55" spans="1:13" x14ac:dyDescent="0.25">
      <c r="A55" s="9">
        <v>54</v>
      </c>
      <c r="B55" s="9">
        <v>75</v>
      </c>
      <c r="C55" s="10" t="s">
        <v>476</v>
      </c>
      <c r="D55" t="str">
        <f>+_xlfn.XLOOKUP(B55,polaris!$B$2:$B$785,polaris!$D$2:$D$785)</f>
        <v>METEOROLÓGICA</v>
      </c>
      <c r="E55"/>
      <c r="F55" s="26">
        <v>29065130</v>
      </c>
      <c r="G55" s="26" t="str" cm="1">
        <f t="array" ref="G55">+_xlfn.XLOOKUP(C55,Hoja1!$E$2:$E$420,Tabla1[Nombre])</f>
        <v>LA GRAN VIA - AUT [29065130]</v>
      </c>
      <c r="H55" t="str">
        <f>+_xlfn.XLOOKUP(F55,Tabla1[Codigo],Tabla1[Nombre])</f>
        <v>LA GRAN VIA - AUT [29065130]</v>
      </c>
      <c r="I55" t="str">
        <f>+_xlfn.XLOOKUP(F55,Hoja5!$C$2:$C$420,Hoja5!$G$2:$G$420)</f>
        <v>DESCONECTADO</v>
      </c>
      <c r="J55" t="str" cm="1">
        <f t="array" ref="J55">+_xlfn.XLOOKUP(F55,Hoja5!$C$2:$C$420,Hoja5!$H$2:H$420)</f>
        <v>GPRS</v>
      </c>
      <c r="L55" t="str">
        <f>+_xlfn.XLOOKUP(B55,polaris!$B$2:$B$785,polaris!$C$2:$C$785)</f>
        <v>LA GRAN VIA - AUT [29065130; AO 05; MET; GPRS; FONDO ADAPTACION]</v>
      </c>
      <c r="M55" t="b">
        <f t="shared" si="0"/>
        <v>1</v>
      </c>
    </row>
    <row r="56" spans="1:13" x14ac:dyDescent="0.25">
      <c r="A56" s="9">
        <v>55</v>
      </c>
      <c r="B56" s="9">
        <v>76</v>
      </c>
      <c r="C56" s="10" t="s">
        <v>477</v>
      </c>
      <c r="D56" t="str">
        <f>+_xlfn.XLOOKUP(B56,polaris!$B$2:$B$785,polaris!$D$2:$D$785)</f>
        <v>METEOROLÓGICA</v>
      </c>
      <c r="E56"/>
      <c r="F56" s="26">
        <v>21015070</v>
      </c>
      <c r="G56" s="26" t="str" cm="1">
        <f t="array" ref="G56">+_xlfn.XLOOKUP(C56,Hoja1!$E$2:$E$420,Tabla1[Nombre])</f>
        <v>LOS GUACHAROS  - AUT [21015070]</v>
      </c>
      <c r="H56" t="str">
        <f>+_xlfn.XLOOKUP(F56,Tabla1[Codigo],Tabla1[Nombre])</f>
        <v>LOS GUACHAROS  - AUT [21015070]</v>
      </c>
      <c r="I56" t="str">
        <f>+_xlfn.XLOOKUP(F56,Hoja5!$C$2:$C$420,Hoja5!$G$2:$G$420)</f>
        <v>DESCONECTADO</v>
      </c>
      <c r="J56" t="str" cm="1">
        <f t="array" ref="J56">+_xlfn.XLOOKUP(F56,Hoja5!$C$2:$C$420,Hoja5!$H$2:H$420)</f>
        <v>INMARSAT</v>
      </c>
      <c r="L56" t="str">
        <f>+_xlfn.XLOOKUP(B56,polaris!$B$2:$B$785,polaris!$C$2:$C$785)</f>
        <v>LOS GUACHAROS  - AUT [21015070; HUI; MET; INMARSAT; AO04; FONDO ADAPTACION]</v>
      </c>
      <c r="M56" t="b">
        <f t="shared" si="0"/>
        <v>1</v>
      </c>
    </row>
    <row r="57" spans="1:13" x14ac:dyDescent="0.25">
      <c r="A57" s="9">
        <v>56</v>
      </c>
      <c r="B57" s="9">
        <v>77</v>
      </c>
      <c r="C57" s="10" t="s">
        <v>478</v>
      </c>
      <c r="D57" t="str">
        <f>+_xlfn.XLOOKUP(B57,polaris!$B$2:$B$785,polaris!$D$2:$D$785)</f>
        <v>METEOROLÓGICA</v>
      </c>
      <c r="E57"/>
      <c r="F57" s="26">
        <v>1602500063</v>
      </c>
      <c r="G57" s="26" t="str" cm="1">
        <f t="array" ref="G57">+_xlfn.XLOOKUP(C57,Hoja1!$E$2:$E$420,Tabla1[Nombre])</f>
        <v>MUTISCUA - AUT [1602500063]</v>
      </c>
      <c r="H57" t="str">
        <f>+_xlfn.XLOOKUP(F57,Tabla1[Codigo],Tabla1[Nombre])</f>
        <v>MUTISCUA - AUT [1602500063]</v>
      </c>
      <c r="I57" t="str">
        <f>+_xlfn.XLOOKUP(F57,Hoja5!$C$2:$C$420,Hoja5!$G$2:$G$420)</f>
        <v>EN LINEA</v>
      </c>
      <c r="J57" t="str" cm="1">
        <f t="array" ref="J57">+_xlfn.XLOOKUP(F57,Hoja5!$C$2:$C$420,Hoja5!$H$2:H$420)</f>
        <v>GPRS</v>
      </c>
      <c r="L57" t="str">
        <f>+_xlfn.XLOOKUP(B57,polaris!$B$2:$B$785,polaris!$C$2:$C$785)</f>
        <v>MUTISCUA - AUT [1602500063; NDS; MET; INMARSAT; AO08; FONDO ADAPTACION]</v>
      </c>
      <c r="M57" t="b">
        <f t="shared" si="0"/>
        <v>1</v>
      </c>
    </row>
    <row r="58" spans="1:13" x14ac:dyDescent="0.25">
      <c r="A58" s="9">
        <v>57</v>
      </c>
      <c r="B58" s="9">
        <v>79</v>
      </c>
      <c r="C58" s="10" t="s">
        <v>479</v>
      </c>
      <c r="D58" t="str">
        <f>+_xlfn.XLOOKUP(B58,polaris!$B$2:$B$785,polaris!$D$2:$D$785)</f>
        <v>METEOROLÓGICA</v>
      </c>
      <c r="E58"/>
      <c r="F58" s="26">
        <v>29065000</v>
      </c>
      <c r="G58" s="26" t="str" cm="1">
        <f t="array" ref="G58">+_xlfn.XLOOKUP(C58,Hoja1!$E$2:$E$420,Tabla1[Nombre])</f>
        <v>MEDIA LUNA - AUT [29065000]</v>
      </c>
      <c r="H58" t="str">
        <f>+_xlfn.XLOOKUP(F58,Tabla1[Codigo],Tabla1[Nombre])</f>
        <v>MEDIA LUNA - AUT [29065000]</v>
      </c>
      <c r="I58" t="str">
        <f>+_xlfn.XLOOKUP(F58,Hoja5!$C$2:$C$420,Hoja5!$G$2:$G$420)</f>
        <v>EN LINEA</v>
      </c>
      <c r="J58" t="str" cm="1">
        <f t="array" ref="J58">+_xlfn.XLOOKUP(F58,Hoja5!$C$2:$C$420,Hoja5!$H$2:H$420)</f>
        <v>GPRS</v>
      </c>
      <c r="L58" t="str">
        <f>+_xlfn.XLOOKUP(B58,polaris!$B$2:$B$785,polaris!$C$2:$C$785)</f>
        <v>MEDIA LUNA - AUT [29065000; AO 05; MET; GPRS; FONDO ADAPTACION]</v>
      </c>
      <c r="M58" t="b">
        <f t="shared" si="0"/>
        <v>1</v>
      </c>
    </row>
    <row r="59" spans="1:13" x14ac:dyDescent="0.25">
      <c r="A59" s="9">
        <v>58</v>
      </c>
      <c r="B59" s="9">
        <v>80</v>
      </c>
      <c r="C59" s="10" t="s">
        <v>480</v>
      </c>
      <c r="D59" t="str">
        <f>+_xlfn.XLOOKUP(B59,polaris!$B$2:$B$785,polaris!$D$2:$D$785)</f>
        <v>METEOROLÓGICA</v>
      </c>
      <c r="E59"/>
      <c r="F59" s="26">
        <v>3206500045</v>
      </c>
      <c r="G59" s="26" t="str" cm="1">
        <f t="array" ref="G59">+_xlfn.XLOOKUP(C59,Hoja1!$E$2:$E$420,Tabla1[Nombre])</f>
        <v>GRANADA SENA - AUT   [3206500045]</v>
      </c>
      <c r="H59" t="str">
        <f>+_xlfn.XLOOKUP(F59,Tabla1[Codigo],Tabla1[Nombre])</f>
        <v>GRANADA SENA - AUT   [3206500045]</v>
      </c>
      <c r="I59" t="str">
        <f>+_xlfn.XLOOKUP(F59,Hoja5!$C$2:$C$420,Hoja5!$G$2:$G$420)</f>
        <v>EN LINEA</v>
      </c>
      <c r="J59" t="str" cm="1">
        <f t="array" ref="J59">+_xlfn.XLOOKUP(F59,Hoja5!$C$2:$C$420,Hoja5!$H$2:H$420)</f>
        <v>GPRS</v>
      </c>
      <c r="L59" t="str">
        <f>+_xlfn.XLOOKUP(B59,polaris!$B$2:$B$785,polaris!$C$2:$C$785)</f>
        <v>GRANADA SENA - AUT [3206500045;AO 03;FONDO ADAPTACION]</v>
      </c>
      <c r="M59" t="b">
        <f t="shared" si="0"/>
        <v>1</v>
      </c>
    </row>
    <row r="60" spans="1:13" x14ac:dyDescent="0.25">
      <c r="A60" s="9">
        <v>59</v>
      </c>
      <c r="B60" s="9">
        <v>81</v>
      </c>
      <c r="C60" s="10" t="s">
        <v>481</v>
      </c>
      <c r="D60" t="str">
        <f>+_xlfn.XLOOKUP(B60,polaris!$B$2:$B$785,polaris!$D$2:$D$785)</f>
        <v>METEOROLÓGICA</v>
      </c>
      <c r="E60"/>
      <c r="F60" s="26">
        <v>35095110</v>
      </c>
      <c r="G60" s="26" t="str" cm="1">
        <f t="array" ref="G60">+_xlfn.XLOOKUP(C60,Hoja1!$E$2:$E$420,Tabla1[Nombre])</f>
        <v>HUERTA LA GRANDE [35095110]</v>
      </c>
      <c r="H60" t="str">
        <f>+_xlfn.XLOOKUP(F60,Tabla1[Codigo],Tabla1[Nombre])</f>
        <v>HUERTA LA GRANDE [35095110]</v>
      </c>
      <c r="I60" t="str">
        <f>+_xlfn.XLOOKUP(F60,Hoja5!$C$2:$C$420,Hoja5!$G$2:$G$420)</f>
        <v>EN LINEA</v>
      </c>
      <c r="J60" t="str" cm="1">
        <f t="array" ref="J60">+_xlfn.XLOOKUP(F60,Hoja5!$C$2:$C$420,Hoja5!$H$2:H$420)</f>
        <v>GPRS</v>
      </c>
      <c r="L60" t="str">
        <f>+_xlfn.XLOOKUP(B60,polaris!$B$2:$B$785,polaris!$C$2:$C$785)</f>
        <v>HUERTA LA GRANDE [35095110;AO 03;FONDO ADAPTACION]</v>
      </c>
      <c r="M60" t="b">
        <f t="shared" si="0"/>
        <v>1</v>
      </c>
    </row>
    <row r="61" spans="1:13" x14ac:dyDescent="0.25">
      <c r="A61" s="9">
        <v>60</v>
      </c>
      <c r="B61" s="9">
        <v>82</v>
      </c>
      <c r="C61" s="10" t="s">
        <v>482</v>
      </c>
      <c r="D61" t="str">
        <f>+_xlfn.XLOOKUP(B61,polaris!$B$2:$B$785,polaris!$D$2:$D$785)</f>
        <v>METEOROLÓGICA</v>
      </c>
      <c r="E61"/>
      <c r="F61" s="26">
        <v>35035100</v>
      </c>
      <c r="G61" s="26" t="str" cm="1">
        <f t="array" ref="G61">+_xlfn.XLOOKUP(C61,Hoja1!$E$2:$E$420,Tabla1[Nombre])</f>
        <v>ICA VILLAVICENCIO  - AUT [35035100]</v>
      </c>
      <c r="H61" t="str">
        <f>+_xlfn.XLOOKUP(F61,Tabla1[Codigo],Tabla1[Nombre])</f>
        <v>ICA VILLAVICENCIO  - AUT [35035100]</v>
      </c>
      <c r="I61" t="str">
        <f>+_xlfn.XLOOKUP(F61,Hoja5!$C$2:$C$420,Hoja5!$G$2:$G$420)</f>
        <v>EN LINEA</v>
      </c>
      <c r="J61" t="str" cm="1">
        <f t="array" ref="J61">+_xlfn.XLOOKUP(F61,Hoja5!$C$2:$C$420,Hoja5!$H$2:H$420)</f>
        <v>GPRS</v>
      </c>
      <c r="L61" t="str">
        <f>+_xlfn.XLOOKUP(B61,polaris!$B$2:$B$785,polaris!$C$2:$C$785)</f>
        <v>ICA VILLAVICENCIO - AUT [35035100;AO 03;FONDO ADAPTACION]</v>
      </c>
      <c r="M61" t="b">
        <f t="shared" si="0"/>
        <v>1</v>
      </c>
    </row>
    <row r="62" spans="1:13" x14ac:dyDescent="0.25">
      <c r="A62" s="9">
        <v>61</v>
      </c>
      <c r="B62" s="9">
        <v>85</v>
      </c>
      <c r="C62" s="10" t="s">
        <v>483</v>
      </c>
      <c r="D62" t="str">
        <f>+_xlfn.XLOOKUP(B62,polaris!$B$2:$B$785,polaris!$D$2:$D$785)</f>
        <v>METEOROLÓGICA</v>
      </c>
      <c r="E62"/>
      <c r="F62" s="26">
        <v>26055110</v>
      </c>
      <c r="G62" s="26" t="str" cm="1">
        <f t="array" ref="G62">+_xlfn.XLOOKUP(C62,Hoja1!$E$2:$E$420,Tabla1[Nombre])</f>
        <v>LA INDEPENDENCIA - AUT [26055110]</v>
      </c>
      <c r="H62" t="str">
        <f>+_xlfn.XLOOKUP(F62,Tabla1[Codigo],Tabla1[Nombre])</f>
        <v>LA INDEPENDENCIA - AUT [26055110]</v>
      </c>
      <c r="I62" t="str">
        <f>+_xlfn.XLOOKUP(F62,Hoja5!$C$2:$C$420,Hoja5!$G$2:$G$420)</f>
        <v>EN LINEA</v>
      </c>
      <c r="J62" t="str" cm="1">
        <f t="array" ref="J62">+_xlfn.XLOOKUP(F62,Hoja5!$C$2:$C$420,Hoja5!$H$2:H$420)</f>
        <v>GPRS</v>
      </c>
      <c r="L62" t="str">
        <f>+_xlfn.XLOOKUP(B62,polaris!$B$2:$B$785,polaris!$C$2:$C$785)</f>
        <v>LA INDEPENDENCIA - AUT [26055110; VDC; MET; GPRS; AO09; FONDO ADAPTACION]</v>
      </c>
      <c r="M62" t="b">
        <f t="shared" si="0"/>
        <v>1</v>
      </c>
    </row>
    <row r="63" spans="1:13" x14ac:dyDescent="0.25">
      <c r="A63" s="9">
        <v>62</v>
      </c>
      <c r="B63" s="9">
        <v>87</v>
      </c>
      <c r="C63" s="10" t="s">
        <v>484</v>
      </c>
      <c r="D63" t="str">
        <f>+_xlfn.XLOOKUP(B63,polaris!$B$2:$B$785,polaris!$D$2:$D$785)</f>
        <v>METEOROLÓGICA</v>
      </c>
      <c r="E63"/>
      <c r="F63" s="26">
        <v>21055070</v>
      </c>
      <c r="G63" s="26" t="str" cm="1">
        <f t="array" ref="G63">+_xlfn.XLOOKUP(C63,Hoja1!$E$2:$E$420,Tabla1[Nombre])</f>
        <v>INZA - AUT [21055070]</v>
      </c>
      <c r="H63" t="str">
        <f>+_xlfn.XLOOKUP(F63,Tabla1[Codigo],Tabla1[Nombre])</f>
        <v>INZA - AUT [21055070]</v>
      </c>
      <c r="I63" t="str">
        <f>+_xlfn.XLOOKUP(F63,Hoja5!$C$2:$C$420,Hoja5!$G$2:$G$420)</f>
        <v>OFFLINE MANUAL</v>
      </c>
      <c r="J63" t="str" cm="1">
        <f t="array" ref="J63">+_xlfn.XLOOKUP(F63,Hoja5!$C$2:$C$420,Hoja5!$H$2:H$420)</f>
        <v>ORDEN PÚBLICO</v>
      </c>
      <c r="L63" t="str">
        <f>+_xlfn.XLOOKUP(B63,polaris!$B$2:$B$785,polaris!$C$2:$C$785)</f>
        <v>INZA - AUT [21055070; CAU; MET; INMARSAT; AO04; FONDO ADAPTACION]</v>
      </c>
      <c r="M63" t="b">
        <f t="shared" si="0"/>
        <v>1</v>
      </c>
    </row>
    <row r="64" spans="1:13" x14ac:dyDescent="0.25">
      <c r="A64" s="9">
        <v>63</v>
      </c>
      <c r="B64" s="9">
        <v>88</v>
      </c>
      <c r="C64" s="10" t="s">
        <v>485</v>
      </c>
      <c r="D64" t="str">
        <f>+_xlfn.XLOOKUP(B64,polaris!$B$2:$B$785,polaris!$D$2:$D$785)</f>
        <v>METEOROLÓGICA</v>
      </c>
      <c r="E64"/>
      <c r="F64" s="26">
        <v>21195120</v>
      </c>
      <c r="G64" s="26" t="str" cm="1">
        <f t="array" ref="G64">+_xlfn.XLOOKUP(C64,Hoja1!$E$2:$E$420,Tabla1[Nombre])</f>
        <v>ITA VALSALICE  - AUT [21195120]</v>
      </c>
      <c r="H64" t="str">
        <f>+_xlfn.XLOOKUP(F64,Tabla1[Codigo],Tabla1[Nombre])</f>
        <v>ITA VALSALICE  - AUT [21195120]</v>
      </c>
      <c r="I64" t="str">
        <f>+_xlfn.XLOOKUP(F64,Hoja5!$C$2:$C$420,Hoja5!$G$2:$G$420)</f>
        <v>EN LINEA</v>
      </c>
      <c r="J64" t="str" cm="1">
        <f t="array" ref="J64">+_xlfn.XLOOKUP(F64,Hoja5!$C$2:$C$420,Hoja5!$H$2:H$420)</f>
        <v>GPRS</v>
      </c>
      <c r="L64" t="str">
        <f>+_xlfn.XLOOKUP(B64,polaris!$B$2:$B$785,polaris!$C$2:$C$785)</f>
        <v>ITA VALSALICE [21195120; AO-11; FONDO ADAPTACION]</v>
      </c>
      <c r="M64" t="b">
        <f t="shared" si="0"/>
        <v>1</v>
      </c>
    </row>
    <row r="65" spans="1:13" x14ac:dyDescent="0.25">
      <c r="A65" s="9">
        <v>64</v>
      </c>
      <c r="B65" s="9">
        <v>91</v>
      </c>
      <c r="C65" s="10" t="s">
        <v>486</v>
      </c>
      <c r="D65" t="str">
        <f>+_xlfn.XLOOKUP(B65,polaris!$B$2:$B$785,polaris!$D$2:$D$785)</f>
        <v>METEOROLÓGICA</v>
      </c>
      <c r="E65"/>
      <c r="F65" s="26">
        <v>25025360</v>
      </c>
      <c r="G65" s="26" t="str" cm="1">
        <f t="array" ref="G65">+_xlfn.XLOOKUP(C65,Hoja1!$E$2:$E$420,Tabla1[Nombre])</f>
        <v>AEROPUERTO LAS FLORES  - AUT [25025360]</v>
      </c>
      <c r="H65" t="str">
        <f>+_xlfn.XLOOKUP(F65,Tabla1[Codigo],Tabla1[Nombre])</f>
        <v>AEROPUERTO LAS FLORES  - AUT [25025360]</v>
      </c>
      <c r="I65" t="str">
        <f>+_xlfn.XLOOKUP(F65,Hoja5!$C$2:$C$420,Hoja5!$G$2:$G$420)</f>
        <v>EN LINEA</v>
      </c>
      <c r="J65" t="str" cm="1">
        <f t="array" ref="J65">+_xlfn.XLOOKUP(F65,Hoja5!$C$2:$C$420,Hoja5!$H$2:H$420)</f>
        <v>GPRS</v>
      </c>
      <c r="L65" t="str">
        <f>+_xlfn.XLOOKUP(B65,polaris!$B$2:$B$785,polaris!$C$2:$C$785)</f>
        <v>AEROPUERTO LAS FLORES  - AUT [25025360; AO 05; MET; GPRS; FONDO ADAPTACION]</v>
      </c>
      <c r="M65" t="b">
        <f t="shared" si="0"/>
        <v>1</v>
      </c>
    </row>
    <row r="66" spans="1:13" x14ac:dyDescent="0.25">
      <c r="A66" s="9">
        <v>65</v>
      </c>
      <c r="B66" s="9">
        <v>93</v>
      </c>
      <c r="C66" s="95" t="s">
        <v>487</v>
      </c>
      <c r="D66" t="str">
        <f>+_xlfn.XLOOKUP(B66,polaris!$B$2:$B$785,polaris!$D$2:$D$785)</f>
        <v>METEOROLÓGICA</v>
      </c>
      <c r="E66"/>
      <c r="F66" s="26">
        <v>28025130</v>
      </c>
      <c r="G66" s="26" t="str" cm="1">
        <f t="array" ref="G66">+_xlfn.XLOOKUP(C66,Hoja1!$E$2:$E$420,Tabla1[Nombre])</f>
        <v>LA LOMA CARBONES - AUT [28025130]</v>
      </c>
      <c r="H66" t="str">
        <f>+_xlfn.XLOOKUP(F66,Tabla1[Codigo],Tabla1[Nombre])</f>
        <v>LA LOMA CARBONES - AUT [28025130]</v>
      </c>
      <c r="I66" t="str">
        <f>+_xlfn.XLOOKUP(F66,Hoja5!$C$2:$C$420,Hoja5!$G$2:$G$420)</f>
        <v>OFFLINE MANUAL</v>
      </c>
      <c r="J66" t="str" cm="1">
        <f t="array" ref="J66">+_xlfn.XLOOKUP(F66,Hoja5!$C$2:$C$420,Hoja5!$H$2:H$420)</f>
        <v>PROC SUSPENSION</v>
      </c>
      <c r="L66" t="str">
        <f>+_xlfn.XLOOKUP(B66,polaris!$B$2:$B$785,polaris!$C$2:$C$785)</f>
        <v>LA LOMA CARBONES - AUT [28025130;  AO05; PROCESO DE SUSPENSIÓN]</v>
      </c>
      <c r="M66" t="b">
        <f t="shared" si="0"/>
        <v>1</v>
      </c>
    </row>
    <row r="67" spans="1:13" x14ac:dyDescent="0.25">
      <c r="A67" s="9">
        <v>66</v>
      </c>
      <c r="B67" s="9">
        <v>94</v>
      </c>
      <c r="C67" s="10" t="s">
        <v>488</v>
      </c>
      <c r="D67" t="str">
        <f>+_xlfn.XLOOKUP(B67,polaris!$B$2:$B$785,polaris!$D$2:$D$785)</f>
        <v>METEOROLÓGICA</v>
      </c>
      <c r="E67"/>
      <c r="F67" s="26">
        <v>23085260</v>
      </c>
      <c r="G67" s="26" t="str" cm="1">
        <f t="array" ref="G67">+_xlfn.XLOOKUP(C67,Hoja1!$E$2:$E$420,Tabla1[Nombre])</f>
        <v>LA SELVA - AUT [23085260]</v>
      </c>
      <c r="H67" t="str">
        <f>+_xlfn.XLOOKUP(F67,Tabla1[Codigo],Tabla1[Nombre])</f>
        <v>LA SELVA - AUT [23085260]</v>
      </c>
      <c r="I67" t="str">
        <f>+_xlfn.XLOOKUP(F67,Hoja5!$C$2:$C$420,Hoja5!$G$2:$G$420)</f>
        <v>EN LINEA</v>
      </c>
      <c r="J67" t="str" cm="1">
        <f t="array" ref="J67">+_xlfn.XLOOKUP(F67,Hoja5!$C$2:$C$420,Hoja5!$H$2:H$420)</f>
        <v>GPRS</v>
      </c>
      <c r="L67" t="str">
        <f>+_xlfn.XLOOKUP(B67,polaris!$B$2:$B$785,polaris!$C$2:$C$785)</f>
        <v>LA SELVA [23085260; AO 01;FONDO ADAPTACION]</v>
      </c>
      <c r="M67" t="b">
        <f t="shared" ref="M67:M130" si="1">+L67=C67</f>
        <v>1</v>
      </c>
    </row>
    <row r="68" spans="1:13" x14ac:dyDescent="0.25">
      <c r="A68" s="9">
        <v>67</v>
      </c>
      <c r="B68" s="9">
        <v>95</v>
      </c>
      <c r="C68" s="10" t="s">
        <v>489</v>
      </c>
      <c r="D68" t="str">
        <f>+_xlfn.XLOOKUP(B68,polaris!$B$2:$B$785,polaris!$D$2:$D$785)</f>
        <v>HIDROLÓGICA</v>
      </c>
      <c r="E68"/>
      <c r="F68" s="26">
        <v>52047020</v>
      </c>
      <c r="G68" s="26" t="str" cm="1">
        <f t="array" ref="G68">+_xlfn.XLOOKUP(C68,Hoja1!$E$2:$E$420,Tabla1[Nombre])</f>
        <v>PUENTE JUANAMBU  - AUT [52047020]</v>
      </c>
      <c r="H68" t="str">
        <f>+_xlfn.XLOOKUP(F68,Tabla1[Codigo],Tabla1[Nombre])</f>
        <v>PUENTE JUANAMBU  - AUT [52047020]</v>
      </c>
      <c r="I68" t="str">
        <f>+_xlfn.XLOOKUP(F68,Hoja5!$C$2:$C$420,Hoja5!$G$2:$G$420)</f>
        <v>EN LINEA</v>
      </c>
      <c r="J68" t="str" cm="1">
        <f t="array" ref="J68">+_xlfn.XLOOKUP(F68,Hoja5!$C$2:$C$420,Hoja5!$H$2:H$420)</f>
        <v>GPRS</v>
      </c>
      <c r="L68" t="str">
        <f>+_xlfn.XLOOKUP(B68,polaris!$B$2:$B$785,polaris!$C$2:$C$785)</f>
        <v>PUENTE JUANAMBU  - AUT [52047020; AO07; FONDO ADAPTACION]</v>
      </c>
      <c r="M68" t="b">
        <f t="shared" si="1"/>
        <v>1</v>
      </c>
    </row>
    <row r="69" spans="1:13" x14ac:dyDescent="0.25">
      <c r="A69" s="9">
        <v>68</v>
      </c>
      <c r="B69" s="9">
        <v>96</v>
      </c>
      <c r="C69" s="10" t="s">
        <v>490</v>
      </c>
      <c r="D69" t="str">
        <f>+_xlfn.XLOOKUP(B69,polaris!$B$2:$B$785,polaris!$D$2:$D$785)</f>
        <v>METEOROLÓGICA</v>
      </c>
      <c r="E69"/>
      <c r="F69" s="26">
        <v>26135330</v>
      </c>
      <c r="G69" s="26" t="str" cm="1">
        <f t="array" ref="G69">+_xlfn.XLOOKUP(C69,Hoja1!$E$2:$E$420,Tabla1[Nombre])</f>
        <v>LA LAGUNA DEL OTUN  - AUT [26135330]</v>
      </c>
      <c r="H69" t="str">
        <f>+_xlfn.XLOOKUP(F69,Tabla1[Codigo],Tabla1[Nombre])</f>
        <v>LA LAGUNA DEL OTUN  - AUT [26135330]</v>
      </c>
      <c r="I69" t="str">
        <f>+_xlfn.XLOOKUP(F69,Hoja5!$C$2:$C$420,Hoja5!$G$2:$G$420)</f>
        <v>DESCONECTADO</v>
      </c>
      <c r="J69" t="str" cm="1">
        <f t="array" ref="J69">+_xlfn.XLOOKUP(F69,Hoja5!$C$2:$C$420,Hoja5!$H$2:H$420)</f>
        <v>INMARSAT</v>
      </c>
      <c r="L69" t="str">
        <f>+_xlfn.XLOOKUP(B69,polaris!$B$2:$B$785,polaris!$C$2:$C$785)</f>
        <v>LA LAGUNA DEL OTUN  - AUT [26135330; RIS; MET; INMARSAT; AO09; FONDO ADAPTACION]</v>
      </c>
      <c r="M69" t="b">
        <f t="shared" si="1"/>
        <v>1</v>
      </c>
    </row>
    <row r="70" spans="1:13" x14ac:dyDescent="0.25">
      <c r="A70" s="9">
        <v>69</v>
      </c>
      <c r="B70" s="9">
        <v>98</v>
      </c>
      <c r="C70" s="10" t="s">
        <v>491</v>
      </c>
      <c r="D70" t="str">
        <f>+_xlfn.XLOOKUP(B70,polaris!$B$2:$B$785,polaris!$D$2:$D$785)</f>
        <v>METEOROLÓGICA</v>
      </c>
      <c r="E70"/>
      <c r="F70" s="26">
        <v>3206500058</v>
      </c>
      <c r="G70" s="26" t="str" cm="1">
        <f t="array" ref="G70">+_xlfn.XLOOKUP(C70,Hoja1!$E$2:$E$420,Tabla1[Nombre])</f>
        <v>LEJANÍAS - AUT [3206500058]</v>
      </c>
      <c r="H70" t="str">
        <f>+_xlfn.XLOOKUP(F70,Tabla1[Codigo],Tabla1[Nombre])</f>
        <v>LEJANÍAS - AUT [3206500058]</v>
      </c>
      <c r="I70" t="str">
        <f>+_xlfn.XLOOKUP(F70,Hoja5!$C$2:$C$420,Hoja5!$G$2:$G$420)</f>
        <v>EN LINEA</v>
      </c>
      <c r="J70" t="str" cm="1">
        <f t="array" ref="J70">+_xlfn.XLOOKUP(F70,Hoja5!$C$2:$C$420,Hoja5!$H$2:H$420)</f>
        <v>GPRS</v>
      </c>
      <c r="L70" t="str">
        <f>+_xlfn.XLOOKUP(B70,polaris!$B$2:$B$785,polaris!$C$2:$C$785)</f>
        <v>LEJANÍAS - AUT [3206500058;AO 03;FONDO ADAPTACION]</v>
      </c>
      <c r="M70" t="b">
        <f t="shared" si="1"/>
        <v>1</v>
      </c>
    </row>
    <row r="71" spans="1:13" x14ac:dyDescent="0.25">
      <c r="A71" s="9">
        <v>70</v>
      </c>
      <c r="B71" s="9">
        <v>99</v>
      </c>
      <c r="C71" s="10" t="s">
        <v>492</v>
      </c>
      <c r="D71" t="str">
        <f>+_xlfn.XLOOKUP(B71,polaris!$B$2:$B$785,polaris!$D$2:$D$785)</f>
        <v>METEOROLÓGICA</v>
      </c>
      <c r="E71"/>
      <c r="F71" s="26">
        <v>35025110</v>
      </c>
      <c r="G71" s="26" t="str" cm="1">
        <f t="array" ref="G71">+_xlfn.XLOOKUP(C71,Hoja1!$E$2:$E$420,Tabla1[Nombre])</f>
        <v>LA LIBERTAD - AUT [35025110]</v>
      </c>
      <c r="H71" t="str">
        <f>+_xlfn.XLOOKUP(F71,Tabla1[Codigo],Tabla1[Nombre])</f>
        <v>LA LIBERTAD - AUT [35025110]</v>
      </c>
      <c r="I71" t="str">
        <f>+_xlfn.XLOOKUP(F71,Hoja5!$C$2:$C$420,Hoja5!$G$2:$G$420)</f>
        <v>EN LINEA</v>
      </c>
      <c r="J71" t="str" cm="1">
        <f t="array" ref="J71">+_xlfn.XLOOKUP(F71,Hoja5!$C$2:$C$420,Hoja5!$H$2:H$420)</f>
        <v>GPRS</v>
      </c>
      <c r="L71" t="str">
        <f>+_xlfn.XLOOKUP(B71,polaris!$B$2:$B$785,polaris!$C$2:$C$785)</f>
        <v>LA LIBERTAD - AUT [35025110;AO 03;FONDO ADAPTACION]</v>
      </c>
      <c r="M71" t="b">
        <f t="shared" si="1"/>
        <v>1</v>
      </c>
    </row>
    <row r="72" spans="1:13" x14ac:dyDescent="0.25">
      <c r="A72" s="9">
        <v>71</v>
      </c>
      <c r="B72" s="9">
        <v>100</v>
      </c>
      <c r="C72" s="10" t="s">
        <v>493</v>
      </c>
      <c r="D72" t="str">
        <f>+_xlfn.XLOOKUP(B72,polaris!$B$2:$B$785,polaris!$D$2:$D$785)</f>
        <v>METEOROLÓGICA</v>
      </c>
      <c r="E72"/>
      <c r="F72" s="26">
        <v>11035010</v>
      </c>
      <c r="G72" s="26" t="str" cm="1">
        <f t="array" ref="G72">+_xlfn.XLOOKUP(C72,Hoja1!$E$2:$E$420,Tabla1[Nombre])</f>
        <v>LLORO [11035010]</v>
      </c>
      <c r="H72" t="str">
        <f>+_xlfn.XLOOKUP(F72,Tabla1[Codigo],Tabla1[Nombre])</f>
        <v>LLORO [11035010]</v>
      </c>
      <c r="I72" t="str">
        <f>+_xlfn.XLOOKUP(F72,Hoja5!$C$2:$C$420,Hoja5!$G$2:$G$420)</f>
        <v>EN LINEA</v>
      </c>
      <c r="J72" t="str" cm="1">
        <f t="array" ref="J72">+_xlfn.XLOOKUP(F72,Hoja5!$C$2:$C$420,Hoja5!$H$2:H$420)</f>
        <v>GPRS</v>
      </c>
      <c r="L72" t="str">
        <f>+_xlfn.XLOOKUP(B72,polaris!$B$2:$B$785,polaris!$C$2:$C$785)</f>
        <v>LLORO [11035010;AO 01;FONDO ADAPTACION]</v>
      </c>
      <c r="M72" t="b">
        <f t="shared" si="1"/>
        <v>1</v>
      </c>
    </row>
    <row r="73" spans="1:13" x14ac:dyDescent="0.25">
      <c r="A73" s="9">
        <v>72</v>
      </c>
      <c r="B73" s="9">
        <v>101</v>
      </c>
      <c r="C73" s="10" t="s">
        <v>494</v>
      </c>
      <c r="D73" t="str">
        <f>+_xlfn.XLOOKUP(B73,polaris!$B$2:$B$785,polaris!$D$2:$D$785)</f>
        <v>METEOROLÓGICA</v>
      </c>
      <c r="E73"/>
      <c r="F73" s="26">
        <v>44035050</v>
      </c>
      <c r="G73" s="26" t="str" cm="1">
        <f t="array" ref="G73">+_xlfn.XLOOKUP(C73,Hoja1!$E$2:$E$420,Tabla1[Nombre])</f>
        <v>MACAGUAL - AUT [44035050]</v>
      </c>
      <c r="H73" t="str">
        <f>+_xlfn.XLOOKUP(F73,Tabla1[Codigo],Tabla1[Nombre])</f>
        <v>MACAGUAL - AUT [44035050]</v>
      </c>
      <c r="I73" t="str">
        <f>+_xlfn.XLOOKUP(F73,Hoja5!$C$2:$C$420,Hoja5!$G$2:$G$420)</f>
        <v>DESCONECTADO</v>
      </c>
      <c r="J73" t="str" cm="1">
        <f t="array" ref="J73">+_xlfn.XLOOKUP(F73,Hoja5!$C$2:$C$420,Hoja5!$H$2:H$420)</f>
        <v>INMARSAT</v>
      </c>
      <c r="L73" t="str">
        <f>+_xlfn.XLOOKUP(B73,polaris!$B$2:$B$785,polaris!$C$2:$C$785)</f>
        <v>MACAGUAL - AUT [44035050; CAQ; MET; AM; R; AO04 ; H2; OCARVAJAL; 55-3; IPWD; R24; FNCM; ; ]</v>
      </c>
      <c r="M73" t="b">
        <f t="shared" si="1"/>
        <v>1</v>
      </c>
    </row>
    <row r="74" spans="1:13" x14ac:dyDescent="0.25">
      <c r="A74" s="9">
        <v>73</v>
      </c>
      <c r="B74" s="9">
        <v>102</v>
      </c>
      <c r="C74" s="10" t="s">
        <v>495</v>
      </c>
      <c r="D74" t="str">
        <f>+_xlfn.XLOOKUP(B74,polaris!$B$2:$B$785,polaris!$D$2:$D$785)</f>
        <v>METEOROLÓGICA</v>
      </c>
      <c r="E74"/>
      <c r="F74" s="26">
        <v>23105070</v>
      </c>
      <c r="G74" s="26" t="str" cm="1">
        <f t="array" ref="G74">+_xlfn.XLOOKUP(C74,Hoja1!$E$2:$E$420,Tabla1[Nombre])</f>
        <v>MACEO - AUT [23105070]</v>
      </c>
      <c r="H74" t="str">
        <f>+_xlfn.XLOOKUP(F74,Tabla1[Codigo],Tabla1[Nombre])</f>
        <v>MACEO - AUT [23105070]</v>
      </c>
      <c r="I74" t="str">
        <f>+_xlfn.XLOOKUP(F74,Hoja5!$C$2:$C$420,Hoja5!$G$2:$G$420)</f>
        <v>EN LINEA</v>
      </c>
      <c r="J74" t="str" cm="1">
        <f t="array" ref="J74">+_xlfn.XLOOKUP(F74,Hoja5!$C$2:$C$420,Hoja5!$H$2:H$420)</f>
        <v>GPRS</v>
      </c>
      <c r="L74" t="str">
        <f>+_xlfn.XLOOKUP(B74,polaris!$B$2:$B$785,polaris!$C$2:$C$785)</f>
        <v>MACEO [23105070; AO 01;FONDO ADAPTACION]</v>
      </c>
      <c r="M74" t="b">
        <f t="shared" si="1"/>
        <v>1</v>
      </c>
    </row>
    <row r="75" spans="1:13" x14ac:dyDescent="0.25">
      <c r="A75" s="9">
        <v>74</v>
      </c>
      <c r="B75" s="9">
        <v>103</v>
      </c>
      <c r="C75" s="10" t="s">
        <v>496</v>
      </c>
      <c r="D75" t="str">
        <f>+_xlfn.XLOOKUP(B75,polaris!$B$2:$B$785,polaris!$D$2:$D$785)</f>
        <v>METEOROLÓGICA</v>
      </c>
      <c r="E75"/>
      <c r="F75" s="26">
        <v>24030950</v>
      </c>
      <c r="G75" s="26" t="str" cm="1">
        <f t="array" ref="G75">+_xlfn.XLOOKUP(C75,Hoja1!$E$2:$E$420,Tabla1[Nombre])</f>
        <v>MALAGA 2 AUT [24030950]</v>
      </c>
      <c r="H75" t="str">
        <f>+_xlfn.XLOOKUP(F75,Tabla1[Codigo],Tabla1[Nombre])</f>
        <v>MALAGA 2 AUT [24030950]</v>
      </c>
      <c r="I75" t="str">
        <f>+_xlfn.XLOOKUP(F75,Hoja5!$C$2:$C$420,Hoja5!$G$2:$G$420)</f>
        <v>DESCONECTADO</v>
      </c>
      <c r="J75" t="str" cm="1">
        <f t="array" ref="J75">+_xlfn.XLOOKUP(F75,Hoja5!$C$2:$C$420,Hoja5!$H$2:H$420)</f>
        <v>INMARSAT</v>
      </c>
      <c r="L75" t="str">
        <f>+_xlfn.XLOOKUP(B75,polaris!$B$2:$B$785,polaris!$C$2:$C$785)</f>
        <v>MALAGA 2 [24030950; SAN; MET; PG; ROC; AO08; H7; DOSPINA; 55-5; IPWD; R24;FNCM; ;  ]</v>
      </c>
      <c r="M75" t="b">
        <f t="shared" si="1"/>
        <v>1</v>
      </c>
    </row>
    <row r="76" spans="1:13" x14ac:dyDescent="0.25">
      <c r="A76" s="9">
        <v>75</v>
      </c>
      <c r="B76" s="9">
        <v>105</v>
      </c>
      <c r="C76" s="10" t="s">
        <v>497</v>
      </c>
      <c r="D76" t="str">
        <f>+_xlfn.XLOOKUP(B76,polaris!$B$2:$B$785,polaris!$D$2:$D$785)</f>
        <v>METEOROLÓGICA</v>
      </c>
      <c r="E76"/>
      <c r="F76" s="26">
        <v>2302500064</v>
      </c>
      <c r="G76" s="26" t="str" cm="1">
        <f t="array" ref="G76">+_xlfn.XLOOKUP(C76,Hoja1!$E$2:$E$420,Tabla1[Nombre])</f>
        <v>MANZANARES - AUT [2302500064]</v>
      </c>
      <c r="H76" t="str">
        <f>+_xlfn.XLOOKUP(F76,Tabla1[Codigo],Tabla1[Nombre])</f>
        <v>MANZANARES - AUT [2302500064]</v>
      </c>
      <c r="I76" t="str">
        <f>+_xlfn.XLOOKUP(F76,Hoja5!$C$2:$C$420,Hoja5!$G$2:$G$420)</f>
        <v>EN LINEA</v>
      </c>
      <c r="J76" t="str" cm="1">
        <f t="array" ref="J76">+_xlfn.XLOOKUP(F76,Hoja5!$C$2:$C$420,Hoja5!$H$2:H$420)</f>
        <v>GPRS</v>
      </c>
      <c r="L76" t="str">
        <f>+_xlfn.XLOOKUP(B76,polaris!$B$2:$B$785,polaris!$C$2:$C$785)</f>
        <v>MANZANARES - AUT [2302500064; AO 10; MET; GPRS; FONDO ADAPTACION]</v>
      </c>
      <c r="M76" t="b">
        <f t="shared" si="1"/>
        <v>1</v>
      </c>
    </row>
    <row r="77" spans="1:13" x14ac:dyDescent="0.25">
      <c r="A77" s="9">
        <v>76</v>
      </c>
      <c r="B77" s="9">
        <v>106</v>
      </c>
      <c r="C77" s="10" t="s">
        <v>498</v>
      </c>
      <c r="D77" t="str">
        <f>+_xlfn.XLOOKUP(B77,polaris!$B$2:$B$785,polaris!$D$2:$D$785)</f>
        <v>METEOROLÓGICA</v>
      </c>
      <c r="E77"/>
      <c r="F77" s="26">
        <v>21015020</v>
      </c>
      <c r="G77" s="26" t="str" cm="1">
        <f t="array" ref="G77">+_xlfn.XLOOKUP(C77,Hoja1!$E$2:$E$420,Tabla1[Nombre])</f>
        <v>SEVILLA - AUT [21015020]</v>
      </c>
      <c r="H77" t="str">
        <f>+_xlfn.XLOOKUP(F77,Tabla1[Codigo],Tabla1[Nombre])</f>
        <v>SEVILLA - AUT [21015020]</v>
      </c>
      <c r="I77" t="str">
        <f>+_xlfn.XLOOKUP(F77,Hoja5!$C$2:$C$420,Hoja5!$G$2:$G$420)</f>
        <v>DESCONECTADO</v>
      </c>
      <c r="J77" t="str" cm="1">
        <f t="array" ref="J77">+_xlfn.XLOOKUP(F77,Hoja5!$C$2:$C$420,Hoja5!$H$2:H$420)</f>
        <v>GPRS</v>
      </c>
      <c r="L77" t="str">
        <f>+_xlfn.XLOOKUP(B77,polaris!$B$2:$B$785,polaris!$C$2:$C$785)</f>
        <v>SEVILLA  - AUT [21015020; AO 04; MET; GPRS; FONDO ADAPTACION]</v>
      </c>
      <c r="M77" t="b">
        <f t="shared" si="1"/>
        <v>1</v>
      </c>
    </row>
    <row r="78" spans="1:13" x14ac:dyDescent="0.25">
      <c r="A78" s="9">
        <v>77</v>
      </c>
      <c r="B78" s="9">
        <v>109</v>
      </c>
      <c r="C78" s="10" t="s">
        <v>499</v>
      </c>
      <c r="D78" t="str">
        <f>+_xlfn.XLOOKUP(B78,polaris!$B$2:$B$785,polaris!$D$2:$D$785)</f>
        <v>METEOROLÓGICA</v>
      </c>
      <c r="E78"/>
      <c r="F78" s="26">
        <v>21205660</v>
      </c>
      <c r="G78" s="26" t="str" cm="1">
        <f t="array" ref="G78">+_xlfn.XLOOKUP(C78,Hoja1!$E$2:$E$420,Tabla1[Nombre])</f>
        <v>MERCEDES - AUT [21205660]</v>
      </c>
      <c r="H78" t="str">
        <f>+_xlfn.XLOOKUP(F78,Tabla1[Codigo],Tabla1[Nombre])</f>
        <v>MERCEDES - AUT [21205660]</v>
      </c>
      <c r="I78" t="str">
        <f>+_xlfn.XLOOKUP(F78,Hoja5!$C$2:$C$420,Hoja5!$G$2:$G$420)</f>
        <v>EN LINEA</v>
      </c>
      <c r="J78" t="str" cm="1">
        <f t="array" ref="J78">+_xlfn.XLOOKUP(F78,Hoja5!$C$2:$C$420,Hoja5!$H$2:H$420)</f>
        <v>GPRS</v>
      </c>
      <c r="L78" t="str">
        <f>+_xlfn.XLOOKUP(B78,polaris!$B$2:$B$785,polaris!$C$2:$C$785)</f>
        <v>MERCEDES [21205660; AO 11; FONDO ADAPTACION]</v>
      </c>
      <c r="M78" t="b">
        <f t="shared" si="1"/>
        <v>1</v>
      </c>
    </row>
    <row r="79" spans="1:13" x14ac:dyDescent="0.25">
      <c r="A79" s="9">
        <v>78</v>
      </c>
      <c r="B79" s="9">
        <v>110</v>
      </c>
      <c r="C79" s="10" t="s">
        <v>500</v>
      </c>
      <c r="D79" t="str">
        <f>+_xlfn.XLOOKUP(B79,polaris!$B$2:$B$785,polaris!$D$2:$D$785)</f>
        <v>METEOROLÓGICA</v>
      </c>
      <c r="E79"/>
      <c r="F79" s="26">
        <v>27015310</v>
      </c>
      <c r="G79" s="26" t="str" cm="1">
        <f t="array" ref="G79">+_xlfn.XLOOKUP(C79,Hoja1!$E$2:$E$420,Tabla1[Nombre])</f>
        <v>METROMEDELLIN - AUT [27015310]</v>
      </c>
      <c r="H79" t="str">
        <f>+_xlfn.XLOOKUP(F79,Tabla1[Codigo],Tabla1[Nombre])</f>
        <v>METROMEDELLIN - AUT [27015310]</v>
      </c>
      <c r="I79" t="str">
        <f>+_xlfn.XLOOKUP(F79,Hoja5!$C$2:$C$420,Hoja5!$G$2:$G$420)</f>
        <v>EN LINEA</v>
      </c>
      <c r="J79" t="str" cm="1">
        <f t="array" ref="J79">+_xlfn.XLOOKUP(F79,Hoja5!$C$2:$C$420,Hoja5!$H$2:H$420)</f>
        <v>GPRS</v>
      </c>
      <c r="L79" t="str">
        <f>+_xlfn.XLOOKUP(B79,polaris!$B$2:$B$785,polaris!$C$2:$C$785)</f>
        <v>METROMEDELLIN [27015310;AO 01;FONDO ADAPTACION]</v>
      </c>
      <c r="M79" t="b">
        <f t="shared" si="1"/>
        <v>1</v>
      </c>
    </row>
    <row r="80" spans="1:13" x14ac:dyDescent="0.25">
      <c r="A80" s="9">
        <v>79</v>
      </c>
      <c r="B80" s="9">
        <v>111</v>
      </c>
      <c r="C80" s="10" t="s">
        <v>501</v>
      </c>
      <c r="D80" t="str">
        <f>+_xlfn.XLOOKUP(B80,polaris!$B$2:$B$785,polaris!$D$2:$D$785)</f>
        <v>METEOROLÓGICA</v>
      </c>
      <c r="E80"/>
      <c r="F80" s="26">
        <v>24025090</v>
      </c>
      <c r="G80" s="26" t="str" cm="1">
        <f t="array" ref="G80">+_xlfn.XLOOKUP(C80,Hoja1!$E$2:$E$420,Tabla1[Nombre])</f>
        <v>MOGOTES - AUT [24025090]</v>
      </c>
      <c r="H80" t="str">
        <f>+_xlfn.XLOOKUP(F80,Tabla1[Codigo],Tabla1[Nombre])</f>
        <v>MOGOTES - AUT [24025090]</v>
      </c>
      <c r="I80" t="str">
        <f>+_xlfn.XLOOKUP(F80,Hoja5!$C$2:$C$420,Hoja5!$G$2:$G$420)</f>
        <v>EN LINEA</v>
      </c>
      <c r="J80" t="str" cm="1">
        <f t="array" ref="J80">+_xlfn.XLOOKUP(F80,Hoja5!$C$2:$C$420,Hoja5!$H$2:H$420)</f>
        <v>GPRS</v>
      </c>
      <c r="L80" t="str">
        <f>+_xlfn.XLOOKUP(B80,polaris!$B$2:$B$785,polaris!$C$2:$C$785)</f>
        <v>MOGOTES - AUT [24025090; AO 08; MET; GPRS; FONDO ADAPTACION]</v>
      </c>
      <c r="M80" t="b">
        <f t="shared" si="1"/>
        <v>1</v>
      </c>
    </row>
    <row r="81" spans="1:13" x14ac:dyDescent="0.25">
      <c r="A81" s="9">
        <v>80</v>
      </c>
      <c r="B81" s="9">
        <v>112</v>
      </c>
      <c r="C81" s="10" t="s">
        <v>502</v>
      </c>
      <c r="D81" t="str">
        <f>+_xlfn.XLOOKUP(B81,polaris!$B$2:$B$785,polaris!$D$2:$D$785)</f>
        <v>HIDROLÓGICA</v>
      </c>
      <c r="E81"/>
      <c r="F81" s="26">
        <v>25017010</v>
      </c>
      <c r="G81" s="26" t="str" cm="1">
        <f t="array" ref="G81">+_xlfn.XLOOKUP(C81,Hoja1!$E$2:$E$420,Tabla1[Nombre])</f>
        <v>MONTELIBANO - AUT [25017010]</v>
      </c>
      <c r="H81" t="str">
        <f>+_xlfn.XLOOKUP(F81,Tabla1[Codigo],Tabla1[Nombre])</f>
        <v>MONTELIBANO - AUT [25017010]</v>
      </c>
      <c r="I81" t="str">
        <f>+_xlfn.XLOOKUP(F81,Hoja5!$C$2:$C$420,Hoja5!$G$2:$G$420)</f>
        <v>EN LINEA</v>
      </c>
      <c r="J81" t="str" cm="1">
        <f t="array" ref="J81">+_xlfn.XLOOKUP(F81,Hoja5!$C$2:$C$420,Hoja5!$H$2:H$420)</f>
        <v>GPRS</v>
      </c>
      <c r="L81" t="str">
        <f>+_xlfn.XLOOKUP(B81,polaris!$B$2:$B$785,polaris!$C$2:$C$785)</f>
        <v>MONTELIBANO - AUT [25017010; AO 02; FONDO ADAPTACION]</v>
      </c>
      <c r="M81" t="b">
        <f t="shared" si="1"/>
        <v>1</v>
      </c>
    </row>
    <row r="82" spans="1:13" x14ac:dyDescent="0.25">
      <c r="A82" s="9">
        <v>81</v>
      </c>
      <c r="B82" s="9">
        <v>113</v>
      </c>
      <c r="C82" s="10" t="s">
        <v>503</v>
      </c>
      <c r="D82" t="str">
        <f>+_xlfn.XLOOKUP(B82,polaris!$B$2:$B$785,polaris!$D$2:$D$785)</f>
        <v>HIDROLÓGICA</v>
      </c>
      <c r="E82"/>
      <c r="F82" s="26">
        <v>13067020</v>
      </c>
      <c r="G82" s="26" t="str" cm="1">
        <f t="array" ref="G82">+_xlfn.XLOOKUP(C82,Hoja1!$E$2:$E$420,Tabla1[Nombre])</f>
        <v>MONTERIA  - AUT [13067020]</v>
      </c>
      <c r="H82" t="str">
        <f>+_xlfn.XLOOKUP(F82,Tabla1[Codigo],Tabla1[Nombre])</f>
        <v>MONTERIA  - AUT [13067020]</v>
      </c>
      <c r="I82" t="str">
        <f>+_xlfn.XLOOKUP(F82,Hoja5!$C$2:$C$420,Hoja5!$G$2:$G$420)</f>
        <v>EN LINEA</v>
      </c>
      <c r="J82" t="str" cm="1">
        <f t="array" ref="J82">+_xlfn.XLOOKUP(F82,Hoja5!$C$2:$C$420,Hoja5!$H$2:H$420)</f>
        <v>GPRS</v>
      </c>
      <c r="L82" t="str">
        <f>+_xlfn.XLOOKUP(B82,polaris!$B$2:$B$785,polaris!$C$2:$C$785)</f>
        <v>MONTERIA  - AUT [13067020; AO 02; FONDO ADAPTACION]</v>
      </c>
      <c r="M82" t="b">
        <f t="shared" si="1"/>
        <v>1</v>
      </c>
    </row>
    <row r="83" spans="1:13" x14ac:dyDescent="0.25">
      <c r="A83" s="9">
        <v>82</v>
      </c>
      <c r="B83" s="9">
        <v>114</v>
      </c>
      <c r="C83" s="10" t="s">
        <v>504</v>
      </c>
      <c r="D83" t="str">
        <f>+_xlfn.XLOOKUP(B83,polaris!$B$2:$B$785,polaris!$D$2:$D$785)</f>
        <v>HIDROLÓGICA</v>
      </c>
      <c r="E83"/>
      <c r="F83" s="26">
        <v>21167080</v>
      </c>
      <c r="G83" s="26" t="str" cm="1">
        <f t="array" ref="G83">+_xlfn.XLOOKUP(C83,Hoja1!$E$2:$E$420,Tabla1[Nombre])</f>
        <v>LA MORA - AUT [21167080]</v>
      </c>
      <c r="H83" t="str">
        <f>+_xlfn.XLOOKUP(F83,Tabla1[Codigo],Tabla1[Nombre])</f>
        <v>LA MORA - AUT [21167080]</v>
      </c>
      <c r="I83" t="str">
        <f>+_xlfn.XLOOKUP(F83,Hoja5!$C$2:$C$420,Hoja5!$G$2:$G$420)</f>
        <v>DESCONECTADO</v>
      </c>
      <c r="J83" t="str" cm="1">
        <f t="array" ref="J83">+_xlfn.XLOOKUP(F83,Hoja5!$C$2:$C$420,Hoja5!$H$2:H$420)</f>
        <v>INMARSAT</v>
      </c>
      <c r="L83" t="str">
        <f>+_xlfn.XLOOKUP(B83,polaris!$B$2:$B$785,polaris!$C$2:$C$785)</f>
        <v>LA MORA - AUT [21167080; TOL; HID; INMARSAT; AO10; FONDO ADAPTACION]</v>
      </c>
      <c r="M83" t="b">
        <f t="shared" si="1"/>
        <v>1</v>
      </c>
    </row>
    <row r="84" spans="1:13" x14ac:dyDescent="0.25">
      <c r="A84" s="9">
        <v>83</v>
      </c>
      <c r="B84" s="9">
        <v>116</v>
      </c>
      <c r="C84" s="10" t="s">
        <v>505</v>
      </c>
      <c r="D84" t="str">
        <f>+_xlfn.XLOOKUP(B84,polaris!$B$2:$B$785,polaris!$D$2:$D$785)</f>
        <v>METEOROLÓGICA</v>
      </c>
      <c r="E84"/>
      <c r="F84" s="26">
        <v>21185090</v>
      </c>
      <c r="G84" s="26" t="str" cm="1">
        <f t="array" ref="G84">+_xlfn.XLOOKUP(C84,Hoja1!$E$2:$E$420,Tabla1[Nombre])</f>
        <v>NATAIMA - AUT [21185090]</v>
      </c>
      <c r="H84" t="str">
        <f>+_xlfn.XLOOKUP(F84,Tabla1[Codigo],Tabla1[Nombre])</f>
        <v>NATAIMA - AUT [21185090]</v>
      </c>
      <c r="I84" t="str">
        <f>+_xlfn.XLOOKUP(F84,Hoja5!$C$2:$C$420,Hoja5!$G$2:$G$420)</f>
        <v>EN LINEA</v>
      </c>
      <c r="J84" t="str" cm="1">
        <f t="array" ref="J84">+_xlfn.XLOOKUP(F84,Hoja5!$C$2:$C$420,Hoja5!$H$2:H$420)</f>
        <v>GPRS</v>
      </c>
      <c r="L84" t="str">
        <f>+_xlfn.XLOOKUP(B84,polaris!$B$2:$B$785,polaris!$C$2:$C$785)</f>
        <v>NATAIMA - AUT [21185090; AO 10; MET; GPRS; FONDO ADAPTACION]</v>
      </c>
      <c r="M84" t="b">
        <f t="shared" si="1"/>
        <v>1</v>
      </c>
    </row>
    <row r="85" spans="1:13" x14ac:dyDescent="0.25">
      <c r="A85" s="9">
        <v>84</v>
      </c>
      <c r="B85" s="9">
        <v>118</v>
      </c>
      <c r="C85" s="10" t="s">
        <v>506</v>
      </c>
      <c r="D85" t="str">
        <f>+_xlfn.XLOOKUP(B85,polaris!$B$2:$B$785,polaris!$D$2:$D$785)</f>
        <v>METEOROLÓGICA</v>
      </c>
      <c r="E85"/>
      <c r="F85" s="26">
        <v>26135320</v>
      </c>
      <c r="G85" s="26" t="str" cm="1">
        <f t="array" ref="G85">+_xlfn.XLOOKUP(C85,Hoja1!$E$2:$E$420,Tabla1[Nombre])</f>
        <v>NEVADO SANTA ISABEL  - AUT [26135320]</v>
      </c>
      <c r="H85" t="str">
        <f>+_xlfn.XLOOKUP(F85,Tabla1[Codigo],Tabla1[Nombre])</f>
        <v>NEVADO SANTA ISABEL  - AUT [26135320]</v>
      </c>
      <c r="I85" t="str">
        <f>+_xlfn.XLOOKUP(F85,Hoja5!$C$2:$C$420,Hoja5!$G$2:$G$420)</f>
        <v>DESCONECTADO</v>
      </c>
      <c r="J85" t="str" cm="1">
        <f t="array" ref="J85">+_xlfn.XLOOKUP(F85,Hoja5!$C$2:$C$420,Hoja5!$H$2:H$420)</f>
        <v>INMARSAT</v>
      </c>
      <c r="L85" t="str">
        <f>+_xlfn.XLOOKUP(B85,polaris!$B$2:$B$785,polaris!$C$2:$C$785)</f>
        <v>NEVADO SANTA ISABEL  - AUT [26135320; CAL; MET; INMARSAT; AO09; FONDO ADAPTACION]</v>
      </c>
      <c r="M85" t="b">
        <f t="shared" si="1"/>
        <v>1</v>
      </c>
    </row>
    <row r="86" spans="1:13" x14ac:dyDescent="0.25">
      <c r="A86" s="9">
        <v>85</v>
      </c>
      <c r="B86" s="9">
        <v>119</v>
      </c>
      <c r="C86" s="10" t="s">
        <v>507</v>
      </c>
      <c r="D86" t="str">
        <f>+_xlfn.XLOOKUP(B86,polaris!$B$2:$B$785,polaris!$D$2:$D$785)</f>
        <v>METEOROLÓGICA</v>
      </c>
      <c r="E86"/>
      <c r="F86" s="26">
        <v>24035380</v>
      </c>
      <c r="G86" s="26" t="str" cm="1">
        <f t="array" ref="G86">+_xlfn.XLOOKUP(C86,Hoja1!$E$2:$E$420,Tabla1[Nombre])</f>
        <v>NEVADO DEL COCUY - AUT [24035380]</v>
      </c>
      <c r="H86" t="str">
        <f>+_xlfn.XLOOKUP(F86,Tabla1[Codigo],Tabla1[Nombre])</f>
        <v>NEVADO DEL COCUY - AUT [24035380]</v>
      </c>
      <c r="I86" t="str">
        <f>+_xlfn.XLOOKUP(F86,Hoja5!$C$2:$C$420,Hoja5!$G$2:$G$420)</f>
        <v>DESCONECTADO</v>
      </c>
      <c r="J86" t="str" cm="1">
        <f t="array" ref="J86">+_xlfn.XLOOKUP(F86,Hoja5!$C$2:$C$420,Hoja5!$H$2:H$420)</f>
        <v>INMARSAT</v>
      </c>
      <c r="L86" t="str">
        <f>+_xlfn.XLOOKUP(B86,polaris!$B$2:$B$785,polaris!$C$2:$C$785)</f>
        <v>NEVADO DEL COCUY - AUT [24035380; AO06; MET; INMARSAT;  FONDO ADAPTACION]</v>
      </c>
      <c r="M86" t="b">
        <f t="shared" si="1"/>
        <v>1</v>
      </c>
    </row>
    <row r="87" spans="1:13" x14ac:dyDescent="0.25">
      <c r="A87" s="9">
        <v>86</v>
      </c>
      <c r="B87" s="9">
        <v>120</v>
      </c>
      <c r="C87" s="10" t="s">
        <v>508</v>
      </c>
      <c r="D87" t="str">
        <f>+_xlfn.XLOOKUP(B87,polaris!$B$2:$B$785,polaris!$D$2:$D$785)</f>
        <v>METEOROLÓGICA</v>
      </c>
      <c r="E87"/>
      <c r="F87" s="26">
        <v>21215150</v>
      </c>
      <c r="G87" s="26" t="str" cm="1">
        <f t="array" ref="G87">+_xlfn.XLOOKUP(C87,Hoja1!$E$2:$E$420,Tabla1[Nombre])</f>
        <v>NEVADO DEL TOLIMA  - AUT [21215150]</v>
      </c>
      <c r="H87" t="str">
        <f>+_xlfn.XLOOKUP(F87,Tabla1[Codigo],Tabla1[Nombre])</f>
        <v>NEVADO DEL TOLIMA  - AUT [21215150]</v>
      </c>
      <c r="I87" t="str">
        <f>+_xlfn.XLOOKUP(F87,Hoja5!$C$2:$C$420,Hoja5!$G$2:$G$420)</f>
        <v>DESCONECTADO</v>
      </c>
      <c r="J87" t="str" cm="1">
        <f t="array" ref="J87">+_xlfn.XLOOKUP(F87,Hoja5!$C$2:$C$420,Hoja5!$H$2:H$420)</f>
        <v>INMARSAT</v>
      </c>
      <c r="L87" t="str">
        <f>+_xlfn.XLOOKUP(B87,polaris!$B$2:$B$785,polaris!$C$2:$C$785)</f>
        <v>NEVADO DEL TOLIMA  - AUT [21215150; TOL; MET; INMARSAT; AO10; FONDO ADAPTACION]</v>
      </c>
      <c r="M87" t="b">
        <f t="shared" si="1"/>
        <v>1</v>
      </c>
    </row>
    <row r="88" spans="1:13" x14ac:dyDescent="0.25">
      <c r="A88" s="9">
        <v>87</v>
      </c>
      <c r="B88" s="9">
        <v>121</v>
      </c>
      <c r="C88" s="10" t="s">
        <v>509</v>
      </c>
      <c r="D88" t="str">
        <f>+_xlfn.XLOOKUP(B88,polaris!$B$2:$B$785,polaris!$D$2:$D$785)</f>
        <v>METEOROLÓGICA</v>
      </c>
      <c r="E88"/>
      <c r="F88" s="26">
        <v>29035080</v>
      </c>
      <c r="G88" s="26" t="str" cm="1">
        <f t="array" ref="G88">+_xlfn.XLOOKUP(C88,Hoja1!$E$2:$E$420,Tabla1[Nombre])</f>
        <v>NORMAL MANATI  - AUT [29035080]</v>
      </c>
      <c r="H88" t="str">
        <f>+_xlfn.XLOOKUP(F88,Tabla1[Codigo],Tabla1[Nombre])</f>
        <v>NORMAL MANATI  - AUT [29035080]</v>
      </c>
      <c r="I88" t="str">
        <f>+_xlfn.XLOOKUP(F88,Hoja5!$C$2:$C$420,Hoja5!$G$2:$G$420)</f>
        <v>EN LINEA</v>
      </c>
      <c r="J88" t="str" cm="1">
        <f t="array" ref="J88">+_xlfn.XLOOKUP(F88,Hoja5!$C$2:$C$420,Hoja5!$H$2:H$420)</f>
        <v>GPRS</v>
      </c>
      <c r="L88" t="str">
        <f>+_xlfn.XLOOKUP(B88,polaris!$B$2:$B$785,polaris!$C$2:$C$785)</f>
        <v>NORMAL MANATI  - AUT [29035080; A0 02; FONDO ADAPTACION]</v>
      </c>
      <c r="M88" t="b">
        <f t="shared" si="1"/>
        <v>1</v>
      </c>
    </row>
    <row r="89" spans="1:13" x14ac:dyDescent="0.25">
      <c r="A89" s="9">
        <v>88</v>
      </c>
      <c r="B89" s="9">
        <v>122</v>
      </c>
      <c r="C89" s="10" t="s">
        <v>510</v>
      </c>
      <c r="D89" t="str">
        <f>+_xlfn.XLOOKUP(B89,polaris!$B$2:$B$785,polaris!$D$2:$D$785)</f>
        <v>METEOROLÓGICA</v>
      </c>
      <c r="E89"/>
      <c r="F89" s="26">
        <v>21206600</v>
      </c>
      <c r="G89" s="26" t="str" cm="1">
        <f t="array" ref="G89">+_xlfn.XLOOKUP(C89,Hoja1!$E$2:$E$420,Tabla1[Nombre])</f>
        <v>NUEVA GENERACION  - AUT [21206600]</v>
      </c>
      <c r="H89" t="str">
        <f>+_xlfn.XLOOKUP(F89,Tabla1[Codigo],Tabla1[Nombre])</f>
        <v>NUEVA GENERACION  - AUT [21206600]</v>
      </c>
      <c r="I89" t="str">
        <f>+_xlfn.XLOOKUP(F89,Hoja5!$C$2:$C$420,Hoja5!$G$2:$G$420)</f>
        <v>EN LINEA</v>
      </c>
      <c r="J89" t="str" cm="1">
        <f t="array" ref="J89">+_xlfn.XLOOKUP(F89,Hoja5!$C$2:$C$420,Hoja5!$H$2:H$420)</f>
        <v>GPRS</v>
      </c>
      <c r="L89" t="str">
        <f>+_xlfn.XLOOKUP(B89,polaris!$B$2:$B$785,polaris!$C$2:$C$785)</f>
        <v>NUEVA GENERACION [21206600; AO11; FONDO ADAPTACION]</v>
      </c>
      <c r="M89" t="b">
        <f t="shared" si="1"/>
        <v>1</v>
      </c>
    </row>
    <row r="90" spans="1:13" x14ac:dyDescent="0.25">
      <c r="A90" s="9">
        <v>89</v>
      </c>
      <c r="B90" s="9">
        <v>125</v>
      </c>
      <c r="C90" s="10" t="s">
        <v>511</v>
      </c>
      <c r="D90" t="str">
        <f>+_xlfn.XLOOKUP(B90,polaris!$B$2:$B$785,polaris!$D$2:$D$785)</f>
        <v>METEOROLÓGICA</v>
      </c>
      <c r="E90"/>
      <c r="F90" s="26">
        <v>21255160</v>
      </c>
      <c r="G90" s="26" t="str" cm="1">
        <f t="array" ref="G90">+_xlfn.XLOOKUP(C90,Hoja1!$E$2:$E$420,Tabla1[Nombre])</f>
        <v>HACIENDA PAJONALES [21255160]</v>
      </c>
      <c r="H90" t="str">
        <f>+_xlfn.XLOOKUP(F90,Tabla1[Codigo],Tabla1[Nombre])</f>
        <v>HACIENDA PAJONALES [21255160]</v>
      </c>
      <c r="I90" t="str">
        <f>+_xlfn.XLOOKUP(F90,Hoja5!$C$2:$C$420,Hoja5!$G$2:$G$420)</f>
        <v>DESCONECTADO</v>
      </c>
      <c r="J90" t="str" cm="1">
        <f t="array" ref="J90">+_xlfn.XLOOKUP(F90,Hoja5!$C$2:$C$420,Hoja5!$H$2:H$420)</f>
        <v>INMARSAT</v>
      </c>
      <c r="L90" t="str">
        <f>+_xlfn.XLOOKUP(B90,polaris!$B$2:$B$785,polaris!$C$2:$C$785)</f>
        <v>HACIENDA PAJONALES [21255160; TOL; MET; INMARSAT; AO10; FONDO ADAPTACION]</v>
      </c>
      <c r="M90" t="b">
        <f t="shared" si="1"/>
        <v>1</v>
      </c>
    </row>
    <row r="91" spans="1:13" x14ac:dyDescent="0.25">
      <c r="A91" s="9">
        <v>90</v>
      </c>
      <c r="B91" s="9">
        <v>126</v>
      </c>
      <c r="C91" s="10" t="s">
        <v>512</v>
      </c>
      <c r="D91" t="str">
        <f>+_xlfn.XLOOKUP(B91,polaris!$B$2:$B$785,polaris!$D$2:$D$785)</f>
        <v>METEOROLÓGICA</v>
      </c>
      <c r="E91"/>
      <c r="F91" s="26">
        <v>23035030</v>
      </c>
      <c r="G91" s="26" t="str" cm="1">
        <f t="array" ref="G91">+_xlfn.XLOOKUP(C91,Hoja1!$E$2:$E$420,Tabla1[Nombre])</f>
        <v>BASE PALANQUERO  - AUT [23035030]</v>
      </c>
      <c r="H91" t="str">
        <f>+_xlfn.XLOOKUP(F91,Tabla1[Codigo],Tabla1[Nombre])</f>
        <v>BASE PALANQUERO  - AUT [23035030]</v>
      </c>
      <c r="I91" t="str">
        <f>+_xlfn.XLOOKUP(F91,Hoja5!$C$2:$C$420,Hoja5!$G$2:$G$420)</f>
        <v>EN LINEA</v>
      </c>
      <c r="J91" t="str" cm="1">
        <f t="array" ref="J91">+_xlfn.XLOOKUP(F91,Hoja5!$C$2:$C$420,Hoja5!$H$2:H$420)</f>
        <v>GOES</v>
      </c>
      <c r="L91" t="str">
        <f>+_xlfn.XLOOKUP(B91,polaris!$B$2:$B$785,polaris!$C$2:$C$785)</f>
        <v>BASE PALANQUERO  - AUT [23035030; CUN; MET; GOES: CB13F5EC; AO10; FONDO ADAPTACION]</v>
      </c>
      <c r="M91" t="b">
        <f t="shared" si="1"/>
        <v>1</v>
      </c>
    </row>
    <row r="92" spans="1:13" x14ac:dyDescent="0.25">
      <c r="A92" s="9">
        <v>91</v>
      </c>
      <c r="B92" s="9">
        <v>129</v>
      </c>
      <c r="C92" s="10" t="s">
        <v>513</v>
      </c>
      <c r="D92" t="str">
        <f>+_xlfn.XLOOKUP(B92,polaris!$B$2:$B$785,polaris!$D$2:$D$785)</f>
        <v>METEOROLÓGICA</v>
      </c>
      <c r="E92"/>
      <c r="F92" s="26">
        <v>21195170</v>
      </c>
      <c r="G92" s="26" t="str" cm="1">
        <f t="array" ref="G92">+_xlfn.XLOOKUP(C92,Hoja1!$E$2:$E$420,Tabla1[Nombre])</f>
        <v>PAQUILO - AUT [21195170]</v>
      </c>
      <c r="H92" t="str">
        <f>+_xlfn.XLOOKUP(F92,Tabla1[Codigo],Tabla1[Nombre])</f>
        <v>PAQUILO - AUT [21195170]</v>
      </c>
      <c r="I92" t="str">
        <f>+_xlfn.XLOOKUP(F92,Hoja5!$C$2:$C$420,Hoja5!$G$2:$G$420)</f>
        <v>EN LINEA</v>
      </c>
      <c r="J92" t="str" cm="1">
        <f t="array" ref="J92">+_xlfn.XLOOKUP(F92,Hoja5!$C$2:$C$420,Hoja5!$H$2:H$420)</f>
        <v>GPRS</v>
      </c>
      <c r="L92" t="str">
        <f>+_xlfn.XLOOKUP(B92,polaris!$B$2:$B$785,polaris!$C$2:$C$785)</f>
        <v>PAQUILO [21195170; AO 11; FONDO ADAPTACION]</v>
      </c>
      <c r="M92" t="b">
        <f t="shared" si="1"/>
        <v>1</v>
      </c>
    </row>
    <row r="93" spans="1:13" x14ac:dyDescent="0.25">
      <c r="A93" s="9">
        <v>92</v>
      </c>
      <c r="B93" s="9">
        <v>130</v>
      </c>
      <c r="C93" s="10" t="s">
        <v>514</v>
      </c>
      <c r="D93" t="str">
        <f>+_xlfn.XLOOKUP(B93,polaris!$B$2:$B$785,polaris!$D$2:$D$785)</f>
        <v>METEOROLÓGICA</v>
      </c>
      <c r="E93"/>
      <c r="F93" s="26">
        <v>24035390</v>
      </c>
      <c r="G93" s="26" t="str" cm="1">
        <f t="array" ref="G93">+_xlfn.XLOOKUP(C93,Hoja1!$E$2:$E$420,Tabla1[Nombre])</f>
        <v>PARAMO ALMORZADERO  - AUT [24035390]</v>
      </c>
      <c r="H93" t="str">
        <f>+_xlfn.XLOOKUP(F93,Tabla1[Codigo],Tabla1[Nombre])</f>
        <v>PARAMO ALMORZADERO  - AUT [24035390]</v>
      </c>
      <c r="I93" t="str">
        <f>+_xlfn.XLOOKUP(F93,Hoja5!$C$2:$C$420,Hoja5!$G$2:$G$420)</f>
        <v>DESCONECTADO</v>
      </c>
      <c r="J93" t="str" cm="1">
        <f t="array" ref="J93">+_xlfn.XLOOKUP(F93,Hoja5!$C$2:$C$420,Hoja5!$H$2:H$420)</f>
        <v>INMARSAT</v>
      </c>
      <c r="L93" t="str">
        <f>+_xlfn.XLOOKUP(B93,polaris!$B$2:$B$785,polaris!$C$2:$C$785)</f>
        <v>PARAMO ALMORZADERO  - AUT [24035390; SAN; MET; INMARSAT; AO08; FONDO ADAPTACION]</v>
      </c>
      <c r="M93" t="b">
        <f t="shared" si="1"/>
        <v>1</v>
      </c>
    </row>
    <row r="94" spans="1:13" x14ac:dyDescent="0.25">
      <c r="A94" s="9">
        <v>93</v>
      </c>
      <c r="B94" s="9">
        <v>131</v>
      </c>
      <c r="C94" s="10" t="s">
        <v>515</v>
      </c>
      <c r="D94" t="str">
        <f>+_xlfn.XLOOKUP(B94,polaris!$B$2:$B$785,polaris!$D$2:$D$785)</f>
        <v>METEOROLÓGICA</v>
      </c>
      <c r="E94"/>
      <c r="F94" s="26">
        <v>22075050</v>
      </c>
      <c r="G94" s="26" t="str" cm="1">
        <f t="array" ref="G94">+_xlfn.XLOOKUP(C94,Hoja1!$E$2:$E$420,Tabla1[Nombre])</f>
        <v>PARAMO DE YERBABUENA  - AUT [22075050]</v>
      </c>
      <c r="H94" t="str">
        <f>+_xlfn.XLOOKUP(F94,Tabla1[Codigo],Tabla1[Nombre])</f>
        <v>PARAMO DE YERBABUENA  - AUT [22075050]</v>
      </c>
      <c r="I94" t="str">
        <f>+_xlfn.XLOOKUP(F94,Hoja5!$C$2:$C$420,Hoja5!$G$2:$G$420)</f>
        <v>DESCONECTADO</v>
      </c>
      <c r="J94" t="str" cm="1">
        <f t="array" ref="J94">+_xlfn.XLOOKUP(F94,Hoja5!$C$2:$C$420,Hoja5!$H$2:H$420)</f>
        <v>INMARSAT</v>
      </c>
      <c r="L94" t="str">
        <f>+_xlfn.XLOOKUP(B94,polaris!$B$2:$B$785,polaris!$C$2:$C$785)</f>
        <v>PARAMO DE YERBABUENA  - AUT [22075050; TOL; MET; INMARSAT; AO10; FONDO ADAPTACION]</v>
      </c>
      <c r="M94" t="b">
        <f t="shared" si="1"/>
        <v>1</v>
      </c>
    </row>
    <row r="95" spans="1:13" x14ac:dyDescent="0.25">
      <c r="A95" s="9">
        <v>94</v>
      </c>
      <c r="B95" s="9">
        <v>132</v>
      </c>
      <c r="C95" s="10" t="s">
        <v>516</v>
      </c>
      <c r="D95" t="str">
        <f>+_xlfn.XLOOKUP(B95,polaris!$B$2:$B$785,polaris!$D$2:$D$785)</f>
        <v>METEOROLÓGICA</v>
      </c>
      <c r="E95"/>
      <c r="F95" s="26">
        <v>52055220</v>
      </c>
      <c r="G95" s="26" t="str" cm="1">
        <f t="array" ref="G95">+_xlfn.XLOOKUP(C95,Hoja1!$E$2:$E$420,Tabla1[Nombre])</f>
        <v>EL PARAISO - AUT [52055220]</v>
      </c>
      <c r="H95" t="str">
        <f>+_xlfn.XLOOKUP(F95,Tabla1[Codigo],Tabla1[Nombre])</f>
        <v>EL PARAISO - AUT [52055220]</v>
      </c>
      <c r="I95" t="str">
        <f>+_xlfn.XLOOKUP(F95,Hoja5!$C$2:$C$420,Hoja5!$G$2:$G$420)</f>
        <v>DESCONECTADO</v>
      </c>
      <c r="J95" t="str" cm="1">
        <f t="array" ref="J95">+_xlfn.XLOOKUP(F95,Hoja5!$C$2:$C$420,Hoja5!$H$2:H$420)</f>
        <v>GPRS</v>
      </c>
      <c r="L95" t="str">
        <f>+_xlfn.XLOOKUP(B95,polaris!$B$2:$B$785,polaris!$C$2:$C$785)</f>
        <v>EL PARAISO - AUT [52055220; AO 07; MET; GPRS; FONDO ADAPTACION]</v>
      </c>
      <c r="M95" t="b">
        <f t="shared" si="1"/>
        <v>1</v>
      </c>
    </row>
    <row r="96" spans="1:13" x14ac:dyDescent="0.25">
      <c r="A96" s="9">
        <v>95</v>
      </c>
      <c r="B96" s="9">
        <v>133</v>
      </c>
      <c r="C96" s="10" t="s">
        <v>517</v>
      </c>
      <c r="D96" t="str">
        <f>+_xlfn.XLOOKUP(B96,polaris!$B$2:$B$785,polaris!$D$2:$D$785)</f>
        <v>METEOROLÓGICA</v>
      </c>
      <c r="E96"/>
      <c r="F96" s="26">
        <v>27015280</v>
      </c>
      <c r="G96" s="26" t="str" cm="1">
        <f t="array" ref="G96">+_xlfn.XLOOKUP(C96,Hoja1!$E$2:$E$420,Tabla1[Nombre])</f>
        <v>PARAMO BELMIRA - AUT [27015280]</v>
      </c>
      <c r="H96" t="str">
        <f>+_xlfn.XLOOKUP(F96,Tabla1[Codigo],Tabla1[Nombre])</f>
        <v>PARAMO BELMIRA - AUT [27015280]</v>
      </c>
      <c r="I96" t="str">
        <f>+_xlfn.XLOOKUP(F96,Hoja5!$C$2:$C$420,Hoja5!$G$2:$G$420)</f>
        <v>DESCONECTADO</v>
      </c>
      <c r="J96" t="str" cm="1">
        <f t="array" ref="J96">+_xlfn.XLOOKUP(F96,Hoja5!$C$2:$C$420,Hoja5!$H$2:H$420)</f>
        <v>GPRS</v>
      </c>
      <c r="L96" t="str">
        <f>+_xlfn.XLOOKUP(B96,polaris!$B$2:$B$785,polaris!$C$2:$C$785)</f>
        <v>PARAMO BELMIRA [27015280;AO 01;FONDO ADAPTACION]</v>
      </c>
      <c r="M96" t="b">
        <f t="shared" si="1"/>
        <v>1</v>
      </c>
    </row>
    <row r="97" spans="1:13" x14ac:dyDescent="0.25">
      <c r="A97" s="9">
        <v>96</v>
      </c>
      <c r="B97" s="9">
        <v>135</v>
      </c>
      <c r="C97" s="10" t="s">
        <v>518</v>
      </c>
      <c r="D97" t="str">
        <f>+_xlfn.XLOOKUP(B97,polaris!$B$2:$B$785,polaris!$D$2:$D$785)</f>
        <v>METEOROLÓGICA</v>
      </c>
      <c r="E97"/>
      <c r="F97" s="26">
        <v>21195190</v>
      </c>
      <c r="G97" s="26" t="str" cm="1">
        <f t="array" ref="G97">+_xlfn.XLOOKUP(C97,Hoja1!$E$2:$E$420,Tabla1[Nombre])</f>
        <v>PASCA - AUT [21195190]</v>
      </c>
      <c r="H97" t="str">
        <f>+_xlfn.XLOOKUP(F97,Tabla1[Codigo],Tabla1[Nombre])</f>
        <v>PASCA - AUT [21195190]</v>
      </c>
      <c r="I97" t="str">
        <f>+_xlfn.XLOOKUP(F97,Hoja5!$C$2:$C$420,Hoja5!$G$2:$G$420)</f>
        <v>EN LINEA</v>
      </c>
      <c r="J97" t="str" cm="1">
        <f t="array" ref="J97">+_xlfn.XLOOKUP(F97,Hoja5!$C$2:$C$420,Hoja5!$H$2:H$420)</f>
        <v>GPRS</v>
      </c>
      <c r="L97" t="str">
        <f>+_xlfn.XLOOKUP(B97,polaris!$B$2:$B$785,polaris!$C$2:$C$785)</f>
        <v>PASCA [21195190; AO11; FONDO ADAPTACION]</v>
      </c>
      <c r="M97" t="b">
        <f t="shared" si="1"/>
        <v>1</v>
      </c>
    </row>
    <row r="98" spans="1:13" x14ac:dyDescent="0.25">
      <c r="A98" s="9">
        <v>97</v>
      </c>
      <c r="B98" s="9">
        <v>136</v>
      </c>
      <c r="C98" s="10" t="s">
        <v>519</v>
      </c>
      <c r="D98" t="str">
        <f>+_xlfn.XLOOKUP(B98,polaris!$B$2:$B$785,polaris!$D$2:$D$785)</f>
        <v>HIDROLÓGICA</v>
      </c>
      <c r="E98"/>
      <c r="F98" s="26">
        <v>24037190</v>
      </c>
      <c r="G98" s="26" t="str" cm="1">
        <f t="array" ref="G98">+_xlfn.XLOOKUP(C98,Hoja1!$E$2:$E$420,Tabla1[Nombre])</f>
        <v>SAN RAFAEL  - AUT [24037190]</v>
      </c>
      <c r="H98" t="str">
        <f>+_xlfn.XLOOKUP(F98,Tabla1[Codigo],Tabla1[Nombre])</f>
        <v>SAN RAFAEL  - AUT [24037190]</v>
      </c>
      <c r="I98" t="str">
        <f>+_xlfn.XLOOKUP(F98,Hoja5!$C$2:$C$420,Hoja5!$G$2:$G$420)</f>
        <v>EN LINEA</v>
      </c>
      <c r="J98" t="str" cm="1">
        <f t="array" ref="J98">+_xlfn.XLOOKUP(F98,Hoja5!$C$2:$C$420,Hoja5!$H$2:H$420)</f>
        <v>GPRS</v>
      </c>
      <c r="L98" t="str">
        <f>+_xlfn.XLOOKUP(B98,polaris!$B$2:$B$785,polaris!$C$2:$C$785)</f>
        <v>SAN RAFAEL  - AUT [24037190; AO 06; HID; GPRS;  FONDO ADAPTACION]</v>
      </c>
      <c r="M98" t="b">
        <f t="shared" si="1"/>
        <v>1</v>
      </c>
    </row>
    <row r="99" spans="1:13" x14ac:dyDescent="0.25">
      <c r="A99" s="9">
        <v>98</v>
      </c>
      <c r="B99" s="9">
        <v>139</v>
      </c>
      <c r="C99" s="94" t="s">
        <v>520</v>
      </c>
      <c r="D99" t="str">
        <f>+_xlfn.XLOOKUP(B99,polaris!$B$2:$B$785,polaris!$D$2:$D$785)</f>
        <v>METEOROLÓGICA</v>
      </c>
      <c r="E99"/>
      <c r="F99" s="92">
        <v>23190700</v>
      </c>
      <c r="G99" s="26" t="str" cm="1">
        <f t="array" ref="G99">+_xlfn.XLOOKUP(C99,Hoja1!$E$2:$E$420,Tabla1[Nombre])</f>
        <v>PIEDECUESTA GRANJA [23190700]</v>
      </c>
      <c r="H99" t="str">
        <f>+_xlfn.XLOOKUP(F99,Tabla1[Codigo],Tabla1[Nombre])</f>
        <v>PIEDECUESTA GRANJA [23190700]</v>
      </c>
      <c r="I99" t="str">
        <f>+_xlfn.XLOOKUP(F99,Hoja5!$C$2:$C$420,Hoja5!$G$2:$G$420)</f>
        <v>EN LINEA</v>
      </c>
      <c r="J99" t="str" cm="1">
        <f t="array" ref="J99">+_xlfn.XLOOKUP(F99,Hoja5!$C$2:$C$420,Hoja5!$H$2:H$420)</f>
        <v>GPRS</v>
      </c>
      <c r="L99" t="str">
        <f>+_xlfn.XLOOKUP(B99,polaris!$B$2:$B$785,polaris!$C$2:$C$785)</f>
        <v>GRANJA PIEDECUESTA [2319500065; AO 08; MET; GPRS; FONDO ADAPTACION ]</v>
      </c>
      <c r="M99" t="b">
        <f t="shared" si="1"/>
        <v>1</v>
      </c>
    </row>
    <row r="100" spans="1:13" x14ac:dyDescent="0.25">
      <c r="A100" s="9">
        <v>99</v>
      </c>
      <c r="B100" s="9">
        <v>140</v>
      </c>
      <c r="C100" s="10" t="s">
        <v>521</v>
      </c>
      <c r="D100" t="str">
        <f>+_xlfn.XLOOKUP(B100,polaris!$B$2:$B$785,polaris!$D$2:$D$785)</f>
        <v>HIDROLÓGICA</v>
      </c>
      <c r="E100"/>
      <c r="F100" s="26">
        <v>22057010</v>
      </c>
      <c r="G100" s="26" t="str" cm="1">
        <f t="array" ref="G100">+_xlfn.XLOOKUP(C100,Hoja1!$E$2:$E$420,Tabla1[Nombre])</f>
        <v>PIEDRAS DE COBRE  - AUT [22057010]</v>
      </c>
      <c r="H100" t="str">
        <f>+_xlfn.XLOOKUP(F100,Tabla1[Codigo],Tabla1[Nombre])</f>
        <v>PIEDRAS DE COBRE  - AUT [22057010]</v>
      </c>
      <c r="I100" t="str">
        <f>+_xlfn.XLOOKUP(F100,Hoja5!$C$2:$C$420,Hoja5!$G$2:$G$420)</f>
        <v>DESCONECTADO</v>
      </c>
      <c r="J100" t="str" cm="1">
        <f t="array" ref="J100">+_xlfn.XLOOKUP(F100,Hoja5!$C$2:$C$420,Hoja5!$H$2:H$420)</f>
        <v>INMARSAT</v>
      </c>
      <c r="L100" t="str">
        <f>+_xlfn.XLOOKUP(B100,polaris!$B$2:$B$785,polaris!$C$2:$C$785)</f>
        <v>PIEDRAS DE COBRE  - AUT [22057010; TOL; HID; INMARSAT; AO10; FONDO ADAPTACION]</v>
      </c>
      <c r="M100" t="b">
        <f t="shared" si="1"/>
        <v>1</v>
      </c>
    </row>
    <row r="101" spans="1:13" x14ac:dyDescent="0.25">
      <c r="A101" s="9">
        <v>100</v>
      </c>
      <c r="B101" s="9">
        <v>141</v>
      </c>
      <c r="C101" s="10" t="s">
        <v>522</v>
      </c>
      <c r="D101" t="str">
        <f>+_xlfn.XLOOKUP(B101,polaris!$B$2:$B$785,polaris!$D$2:$D$785)</f>
        <v>METEOROLÓGICA</v>
      </c>
      <c r="E101"/>
      <c r="F101" s="26">
        <v>12015100</v>
      </c>
      <c r="G101" s="26" t="str" cm="1">
        <f t="array" ref="G101">+_xlfn.XLOOKUP(C101,Hoja1!$E$2:$E$420,Tabla1[Nombre])</f>
        <v>PISTA INDIRA - AUT [12015100]</v>
      </c>
      <c r="H101" t="str">
        <f>+_xlfn.XLOOKUP(F101,Tabla1[Codigo],Tabla1[Nombre])</f>
        <v>PISTA INDIRA - AUT [12015100]</v>
      </c>
      <c r="I101" t="str">
        <f>+_xlfn.XLOOKUP(F101,Hoja5!$C$2:$C$420,Hoja5!$G$2:$G$420)</f>
        <v>EN LINEA</v>
      </c>
      <c r="J101" t="str" cm="1">
        <f t="array" ref="J101">+_xlfn.XLOOKUP(F101,Hoja5!$C$2:$C$420,Hoja5!$H$2:H$420)</f>
        <v>GPRS</v>
      </c>
      <c r="L101" t="str">
        <f>+_xlfn.XLOOKUP(B101,polaris!$B$2:$B$785,polaris!$C$2:$C$785)</f>
        <v>PISTA INDIRA [12015100;AO 01;FONDO ADAPTACION]</v>
      </c>
      <c r="M101" t="b">
        <f t="shared" si="1"/>
        <v>1</v>
      </c>
    </row>
    <row r="102" spans="1:13" x14ac:dyDescent="0.25">
      <c r="A102" s="9">
        <v>101</v>
      </c>
      <c r="B102" s="9">
        <v>142</v>
      </c>
      <c r="C102" s="10" t="s">
        <v>523</v>
      </c>
      <c r="D102" t="str">
        <f>+_xlfn.XLOOKUP(B102,polaris!$B$2:$B$785,polaris!$D$2:$D$785)</f>
        <v>METEOROLÓGICA</v>
      </c>
      <c r="E102"/>
      <c r="F102" s="26">
        <v>26105240</v>
      </c>
      <c r="G102" s="26" t="str" cm="1">
        <f t="array" ref="G102">+_xlfn.XLOOKUP(C102,Hoja1!$E$2:$E$420,Tabla1[Nombre])</f>
        <v>EL PLACER - AUT [26105240]</v>
      </c>
      <c r="H102" t="str">
        <f>+_xlfn.XLOOKUP(F102,Tabla1[Codigo],Tabla1[Nombre])</f>
        <v>EL PLACER - AUT [26105240]</v>
      </c>
      <c r="I102" t="str">
        <f>+_xlfn.XLOOKUP(F102,Hoja5!$C$2:$C$420,Hoja5!$G$2:$G$420)</f>
        <v>EN LINEA</v>
      </c>
      <c r="J102" t="str" cm="1">
        <f t="array" ref="J102">+_xlfn.XLOOKUP(F102,Hoja5!$C$2:$C$420,Hoja5!$H$2:H$420)</f>
        <v>GOES</v>
      </c>
      <c r="L102" t="str">
        <f>+_xlfn.XLOOKUP(B102,polaris!$B$2:$B$785,polaris!$C$2:$C$785)</f>
        <v>EL PLACER - AUT [26105240; VDC; MET; GOES; AO09; FONDO ADAPTACION]</v>
      </c>
      <c r="M102" t="b">
        <f t="shared" si="1"/>
        <v>1</v>
      </c>
    </row>
    <row r="103" spans="1:13" x14ac:dyDescent="0.25">
      <c r="A103" s="9">
        <v>102</v>
      </c>
      <c r="B103" s="9">
        <v>143</v>
      </c>
      <c r="C103" s="10" t="s">
        <v>524</v>
      </c>
      <c r="D103" t="str">
        <f>+_xlfn.XLOOKUP(B103,polaris!$B$2:$B$785,polaris!$D$2:$D$785)</f>
        <v>METEOROLÓGICA</v>
      </c>
      <c r="E103"/>
      <c r="F103" s="26">
        <v>25025190</v>
      </c>
      <c r="G103" s="26" t="str" cm="1">
        <f t="array" ref="G103">+_xlfn.XLOOKUP(C103,Hoja1!$E$2:$E$420,Tabla1[Nombre])</f>
        <v>PLANETA RICA  - AUT [25025190]</v>
      </c>
      <c r="H103" t="str">
        <f>+_xlfn.XLOOKUP(F103,Tabla1[Codigo],Tabla1[Nombre])</f>
        <v>PLANETA RICA  - AUT [25025190]</v>
      </c>
      <c r="I103" t="str">
        <f>+_xlfn.XLOOKUP(F103,Hoja5!$C$2:$C$420,Hoja5!$G$2:$G$420)</f>
        <v>EN LINEA</v>
      </c>
      <c r="J103" t="str" cm="1">
        <f t="array" ref="J103">+_xlfn.XLOOKUP(F103,Hoja5!$C$2:$C$420,Hoja5!$H$2:H$420)</f>
        <v>GPRS</v>
      </c>
      <c r="L103" t="str">
        <f>+_xlfn.XLOOKUP(B103,polaris!$B$2:$B$785,polaris!$C$2:$C$785)</f>
        <v>PLANETA RICA  - AUT [25025190; AO 02; FONDO ADAPTACION]</v>
      </c>
      <c r="M103" t="b">
        <f t="shared" si="1"/>
        <v>1</v>
      </c>
    </row>
    <row r="104" spans="1:13" x14ac:dyDescent="0.25">
      <c r="A104" s="9">
        <v>103</v>
      </c>
      <c r="B104" s="9">
        <v>144</v>
      </c>
      <c r="C104" s="10" t="s">
        <v>525</v>
      </c>
      <c r="D104" t="str">
        <f>+_xlfn.XLOOKUP(B104,polaris!$B$2:$B$785,polaris!$D$2:$D$785)</f>
        <v>METEOROLÓGICA</v>
      </c>
      <c r="E104"/>
      <c r="F104" s="26">
        <v>21115170</v>
      </c>
      <c r="G104" s="26" t="str" cm="1">
        <f t="array" ref="G104">+_xlfn.XLOOKUP(C104,Hoja1!$E$2:$E$420,Tabla1[Nombre])</f>
        <v>LA PLATA - AUT [21115170]</v>
      </c>
      <c r="H104" t="str">
        <f>+_xlfn.XLOOKUP(F104,Tabla1[Codigo],Tabla1[Nombre])</f>
        <v>LA PLATA - AUT [21115170]</v>
      </c>
      <c r="I104" t="str">
        <f>+_xlfn.XLOOKUP(F104,Hoja5!$C$2:$C$420,Hoja5!$G$2:$G$420)</f>
        <v>DESCONECTADO</v>
      </c>
      <c r="J104" t="str" cm="1">
        <f t="array" ref="J104">+_xlfn.XLOOKUP(F104,Hoja5!$C$2:$C$420,Hoja5!$H$2:H$420)</f>
        <v>INMARSAT</v>
      </c>
      <c r="L104" t="str">
        <f>+_xlfn.XLOOKUP(B104,polaris!$B$2:$B$785,polaris!$C$2:$C$785)</f>
        <v>LA PLATA - AUT [21115170; HUI; MET; INMARSAT; AO04; FONDO ADAPTACION]</v>
      </c>
      <c r="M104" t="b">
        <f t="shared" si="1"/>
        <v>1</v>
      </c>
    </row>
    <row r="105" spans="1:13" x14ac:dyDescent="0.25">
      <c r="A105" s="9">
        <v>104</v>
      </c>
      <c r="B105" s="9">
        <v>145</v>
      </c>
      <c r="C105" s="10" t="s">
        <v>526</v>
      </c>
      <c r="D105" t="str">
        <f>+_xlfn.XLOOKUP(B105,polaris!$B$2:$B$785,polaris!$D$2:$D$785)</f>
        <v>METEOROLÓGICA</v>
      </c>
      <c r="E105"/>
      <c r="F105" s="26">
        <v>26155250</v>
      </c>
      <c r="G105" s="26" t="str" cm="1">
        <f t="array" ref="G105">+_xlfn.XLOOKUP(C105,Hoja1!$E$2:$E$420,Tabla1[Nombre])</f>
        <v>PARAMO CONEJERAS  - AUT [26155250]</v>
      </c>
      <c r="H105" t="str">
        <f>+_xlfn.XLOOKUP(F105,Tabla1[Codigo],Tabla1[Nombre])</f>
        <v>PARAMO CONEJERAS  - AUT [26155250]</v>
      </c>
      <c r="I105" t="str">
        <f>+_xlfn.XLOOKUP(F105,Hoja5!$C$2:$C$420,Hoja5!$G$2:$G$420)</f>
        <v>DESCONECTADO</v>
      </c>
      <c r="J105" t="str" cm="1">
        <f t="array" ref="J105">+_xlfn.XLOOKUP(F105,Hoja5!$C$2:$C$420,Hoja5!$H$2:H$420)</f>
        <v>INMARSAT</v>
      </c>
      <c r="L105" t="str">
        <f>+_xlfn.XLOOKUP(B105,polaris!$B$2:$B$785,polaris!$C$2:$C$785)</f>
        <v>PARAMO CONEJERAS  - AUT [26155250; CAL; MET; INMARSAT; AO09; FONDO ADAPTACION]</v>
      </c>
      <c r="M105" t="b">
        <f t="shared" si="1"/>
        <v>1</v>
      </c>
    </row>
    <row r="106" spans="1:13" x14ac:dyDescent="0.25">
      <c r="A106" s="9">
        <v>105</v>
      </c>
      <c r="B106" s="9">
        <v>146</v>
      </c>
      <c r="C106" s="10" t="s">
        <v>527</v>
      </c>
      <c r="D106" t="str">
        <f>+_xlfn.XLOOKUP(B106,polaris!$B$2:$B$785,polaris!$D$2:$D$785)</f>
        <v>METEOROLÓGICA</v>
      </c>
      <c r="E106"/>
      <c r="F106" s="26">
        <v>35025080</v>
      </c>
      <c r="G106" s="26" t="str" cm="1">
        <f t="array" ref="G106">+_xlfn.XLOOKUP(C106,Hoja1!$E$2:$E$420,Tabla1[Nombre])</f>
        <v>PNN CHINGAZA - AUT [35025080]</v>
      </c>
      <c r="H106" t="str">
        <f>+_xlfn.XLOOKUP(F106,Tabla1[Codigo],Tabla1[Nombre])</f>
        <v>PNN CHINGAZA - AUT [35025080]</v>
      </c>
      <c r="I106" t="str">
        <f>+_xlfn.XLOOKUP(F106,Hoja5!$C$2:$C$420,Hoja5!$G$2:$G$420)</f>
        <v>EN LINEA</v>
      </c>
      <c r="J106" t="str" cm="1">
        <f t="array" ref="J106">+_xlfn.XLOOKUP(F106,Hoja5!$C$2:$C$420,Hoja5!$H$2:H$420)</f>
        <v>GOES</v>
      </c>
      <c r="L106" t="str">
        <f>+_xlfn.XLOOKUP(B106,polaris!$B$2:$B$785,polaris!$C$2:$C$785)</f>
        <v>PNN CHINGAZA [35025080; AO11; FONDO ADAPTACION]</v>
      </c>
      <c r="M106" t="b">
        <f t="shared" si="1"/>
        <v>1</v>
      </c>
    </row>
    <row r="107" spans="1:13" x14ac:dyDescent="0.25">
      <c r="A107" s="9">
        <v>106</v>
      </c>
      <c r="B107" s="9">
        <v>147</v>
      </c>
      <c r="C107" s="10" t="s">
        <v>528</v>
      </c>
      <c r="D107" t="str">
        <f>+_xlfn.XLOOKUP(B107,polaris!$B$2:$B$785,polaris!$D$2:$D$785)</f>
        <v>METEOROLÓGICA</v>
      </c>
      <c r="E107"/>
      <c r="F107" s="26">
        <v>26155240</v>
      </c>
      <c r="G107" s="26" t="str" cm="1">
        <f t="array" ref="G107">+_xlfn.XLOOKUP(C107,Hoja1!$E$2:$E$420,Tabla1[Nombre])</f>
        <v>PNN NEVADOS - AUT [26155240]</v>
      </c>
      <c r="H107" t="str">
        <f>+_xlfn.XLOOKUP(F107,Tabla1[Codigo],Tabla1[Nombre])</f>
        <v>PNN NEVADOS - AUT [26155240]</v>
      </c>
      <c r="I107" t="str">
        <f>+_xlfn.XLOOKUP(F107,Hoja5!$C$2:$C$420,Hoja5!$G$2:$G$420)</f>
        <v>DESCONECTADO</v>
      </c>
      <c r="J107" t="str" cm="1">
        <f t="array" ref="J107">+_xlfn.XLOOKUP(F107,Hoja5!$C$2:$C$420,Hoja5!$H$2:H$420)</f>
        <v>INMARSAT</v>
      </c>
      <c r="L107" t="str">
        <f>+_xlfn.XLOOKUP(B107,polaris!$B$2:$B$785,polaris!$C$2:$C$785)</f>
        <v>PNN NEVADOS - AUT [26155240; CAL; MET; INMARSAT; AO09; FONDO ADAPTACION]</v>
      </c>
      <c r="M107" t="b">
        <f t="shared" si="1"/>
        <v>1</v>
      </c>
    </row>
    <row r="108" spans="1:13" x14ac:dyDescent="0.25">
      <c r="A108" s="9">
        <v>107</v>
      </c>
      <c r="B108" s="9">
        <v>148</v>
      </c>
      <c r="C108" s="10" t="s">
        <v>529</v>
      </c>
      <c r="D108" t="str">
        <f>+_xlfn.XLOOKUP(B108,polaris!$B$2:$B$785,polaris!$D$2:$D$785)</f>
        <v>METEOROLÓGICA</v>
      </c>
      <c r="E108"/>
      <c r="F108" s="26">
        <v>26015030</v>
      </c>
      <c r="G108" s="26" t="str" cm="1">
        <f t="array" ref="G108">+_xlfn.XLOOKUP(C108,Hoja1!$E$2:$E$420,Tabla1[Nombre])</f>
        <v>PNN PURACE - AUT [26015030]</v>
      </c>
      <c r="H108" t="str">
        <f>+_xlfn.XLOOKUP(F108,Tabla1[Codigo],Tabla1[Nombre])</f>
        <v>PNN PURACE - AUT [26015030]</v>
      </c>
      <c r="I108" t="str">
        <f>+_xlfn.XLOOKUP(F108,Hoja5!$C$2:$C$420,Hoja5!$G$2:$G$420)</f>
        <v>DESCONECTADO</v>
      </c>
      <c r="J108" t="str" cm="1">
        <f t="array" ref="J108">+_xlfn.XLOOKUP(F108,Hoja5!$C$2:$C$420,Hoja5!$H$2:H$420)</f>
        <v>INMARSAT</v>
      </c>
      <c r="L108" t="str">
        <f>+_xlfn.XLOOKUP(B108,polaris!$B$2:$B$785,polaris!$C$2:$C$785)</f>
        <v>PNN PURACE - AUT [26015030; AO09; FONDO ADAPTACION]</v>
      </c>
      <c r="M108" t="b">
        <f t="shared" si="1"/>
        <v>1</v>
      </c>
    </row>
    <row r="109" spans="1:13" x14ac:dyDescent="0.25">
      <c r="A109" s="9">
        <v>108</v>
      </c>
      <c r="B109" s="9">
        <v>149</v>
      </c>
      <c r="C109" s="10" t="s">
        <v>530</v>
      </c>
      <c r="D109" t="str">
        <f>+_xlfn.XLOOKUP(B109,polaris!$B$2:$B$785,polaris!$D$2:$D$785)</f>
        <v>METEOROLÓGICA</v>
      </c>
      <c r="E109"/>
      <c r="F109" s="26">
        <v>26135300</v>
      </c>
      <c r="G109" s="26" t="str" cm="1">
        <f t="array" ref="G109">+_xlfn.XLOOKUP(C109,Hoja1!$E$2:$E$420,Tabla1[Nombre])</f>
        <v>PNN QUIMBAYA - AUT [26135300]</v>
      </c>
      <c r="H109" t="str">
        <f>+_xlfn.XLOOKUP(F109,Tabla1[Codigo],Tabla1[Nombre])</f>
        <v>PNN QUIMBAYA - AUT [26135300]</v>
      </c>
      <c r="I109" t="str">
        <f>+_xlfn.XLOOKUP(F109,Hoja5!$C$2:$C$420,Hoja5!$G$2:$G$420)</f>
        <v>EN LINEA</v>
      </c>
      <c r="J109" t="str" cm="1">
        <f t="array" ref="J109">+_xlfn.XLOOKUP(F109,Hoja5!$C$2:$C$420,Hoja5!$H$2:H$420)</f>
        <v>GPRS</v>
      </c>
      <c r="L109" t="str">
        <f>+_xlfn.XLOOKUP(B109,polaris!$B$2:$B$785,polaris!$C$2:$C$785)</f>
        <v>PNN QUIMBAYA - AUT [26135300; RIS; MET; GPRS; AO09; FONDO ADAPTACION]</v>
      </c>
      <c r="M109" t="b">
        <f t="shared" si="1"/>
        <v>1</v>
      </c>
    </row>
    <row r="110" spans="1:13" x14ac:dyDescent="0.25">
      <c r="A110" s="9">
        <v>109</v>
      </c>
      <c r="B110" s="9">
        <v>152</v>
      </c>
      <c r="C110" s="10" t="s">
        <v>531</v>
      </c>
      <c r="D110" t="str">
        <f>+_xlfn.XLOOKUP(B110,polaris!$B$2:$B$785,polaris!$D$2:$D$785)</f>
        <v>METEOROLÓGICA</v>
      </c>
      <c r="E110"/>
      <c r="F110" s="26">
        <v>35035130</v>
      </c>
      <c r="G110" s="26" t="str" cm="1">
        <f t="array" ref="G110">+_xlfn.XLOOKUP(C110,Hoja1!$E$2:$E$420,Tabla1[Nombre])</f>
        <v>PARAMO CHINGAZA  - AUT [35035130]</v>
      </c>
      <c r="H110" t="str">
        <f>+_xlfn.XLOOKUP(F110,Tabla1[Codigo],Tabla1[Nombre])</f>
        <v>PARAMO CHINGAZA  - AUT [35035130]</v>
      </c>
      <c r="I110" t="str">
        <f>+_xlfn.XLOOKUP(F110,Hoja5!$C$2:$C$420,Hoja5!$G$2:$G$420)</f>
        <v>EN LINEA</v>
      </c>
      <c r="J110" t="str" cm="1">
        <f t="array" ref="J110">+_xlfn.XLOOKUP(F110,Hoja5!$C$2:$C$420,Hoja5!$H$2:H$420)</f>
        <v>GOES</v>
      </c>
      <c r="L110" t="str">
        <f>+_xlfn.XLOOKUP(B110,polaris!$B$2:$B$785,polaris!$C$2:$C$785)</f>
        <v>PARAMO CHINGAZA [35035130; AO11; FONDO ADAPTACION]</v>
      </c>
      <c r="M110" t="b">
        <f t="shared" si="1"/>
        <v>1</v>
      </c>
    </row>
    <row r="111" spans="1:13" x14ac:dyDescent="0.25">
      <c r="A111" s="9">
        <v>110</v>
      </c>
      <c r="B111" s="9">
        <v>153</v>
      </c>
      <c r="C111" s="10" t="s">
        <v>532</v>
      </c>
      <c r="D111" t="str">
        <f>+_xlfn.XLOOKUP(B111,polaris!$B$2:$B$785,polaris!$D$2:$D$785)</f>
        <v>METEOROLÓGICA</v>
      </c>
      <c r="E111"/>
      <c r="F111" s="26">
        <v>21206930</v>
      </c>
      <c r="G111" s="26" t="str" cm="1">
        <f t="array" ref="G111">+_xlfn.XLOOKUP(C111,Hoja1!$E$2:$E$420,Tabla1[Nombre])</f>
        <v>PARAMO GUERRERO  - AUT [21206930]</v>
      </c>
      <c r="H111" t="str">
        <f>+_xlfn.XLOOKUP(F111,Tabla1[Codigo],Tabla1[Nombre])</f>
        <v>PARAMO GUERRERO  - AUT [21206930]</v>
      </c>
      <c r="I111" t="str">
        <f>+_xlfn.XLOOKUP(F111,Hoja5!$C$2:$C$420,Hoja5!$G$2:$G$420)</f>
        <v>DESCONECTADO</v>
      </c>
      <c r="J111" t="str" cm="1">
        <f t="array" ref="J111">+_xlfn.XLOOKUP(F111,Hoja5!$C$2:$C$420,Hoja5!$H$2:H$420)</f>
        <v>INMARSAT</v>
      </c>
      <c r="L111" t="str">
        <f>+_xlfn.XLOOKUP(B111,polaris!$B$2:$B$785,polaris!$C$2:$C$785)</f>
        <v>PARAMO GUERRERO [21206930; AO11; FONDO ADAPTACION]</v>
      </c>
      <c r="M111" t="b">
        <f t="shared" si="1"/>
        <v>1</v>
      </c>
    </row>
    <row r="112" spans="1:13" x14ac:dyDescent="0.25">
      <c r="A112" s="9">
        <v>111</v>
      </c>
      <c r="B112" s="9">
        <v>154</v>
      </c>
      <c r="C112" s="10" t="s">
        <v>533</v>
      </c>
      <c r="D112" t="str">
        <f>+_xlfn.XLOOKUP(B112,polaris!$B$2:$B$785,polaris!$D$2:$D$785)</f>
        <v>METEOROLÓGICA</v>
      </c>
      <c r="E112"/>
      <c r="F112" s="26">
        <v>35075080</v>
      </c>
      <c r="G112" s="26" t="str" cm="1">
        <f t="array" ref="G112">+_xlfn.XLOOKUP(C112,Hoja1!$E$2:$E$420,Tabla1[Nombre])</f>
        <v>PARAMO RABANAL - AUT [35075080]</v>
      </c>
      <c r="H112" t="str">
        <f>+_xlfn.XLOOKUP(F112,Tabla1[Codigo],Tabla1[Nombre])</f>
        <v>PARAMO RABANAL - AUT [35075080]</v>
      </c>
      <c r="I112" t="str">
        <f>+_xlfn.XLOOKUP(F112,Hoja5!$C$2:$C$420,Hoja5!$G$2:$G$420)</f>
        <v>DESCONECTADO</v>
      </c>
      <c r="J112" t="str" cm="1">
        <f t="array" ref="J112">+_xlfn.XLOOKUP(F112,Hoja5!$C$2:$C$420,Hoja5!$H$2:H$420)</f>
        <v>INMARSAT</v>
      </c>
      <c r="L112" t="str">
        <f>+_xlfn.XLOOKUP(B112,polaris!$B$2:$B$785,polaris!$C$2:$C$785)</f>
        <v>PARAMO RABANAL - AUT [35075080; AO06; MET; INMARSAT; FONDO ADAPTACION]</v>
      </c>
      <c r="M112" t="b">
        <f t="shared" si="1"/>
        <v>1</v>
      </c>
    </row>
    <row r="113" spans="1:13" x14ac:dyDescent="0.25">
      <c r="A113" s="9">
        <v>112</v>
      </c>
      <c r="B113" s="9">
        <v>155</v>
      </c>
      <c r="C113" s="10" t="s">
        <v>534</v>
      </c>
      <c r="D113" t="str">
        <f>+_xlfn.XLOOKUP(B113,polaris!$B$2:$B$785,polaris!$D$2:$D$785)</f>
        <v>HIDROLÓGICA</v>
      </c>
      <c r="E113"/>
      <c r="F113" s="26">
        <v>21197010</v>
      </c>
      <c r="G113" s="26" t="str" cm="1">
        <f t="array" ref="G113">+_xlfn.XLOOKUP(C113,Hoja1!$E$2:$E$420,Tabla1[Nombre])</f>
        <v>EL PROFUNDO - AUT [21197010]</v>
      </c>
      <c r="H113" t="str">
        <f>+_xlfn.XLOOKUP(F113,Tabla1[Codigo],Tabla1[Nombre])</f>
        <v>EL PROFUNDO - AUT [21197010]</v>
      </c>
      <c r="I113" t="str">
        <f>+_xlfn.XLOOKUP(F113,Hoja5!$C$2:$C$420,Hoja5!$G$2:$G$420)</f>
        <v>DESCONECTADO</v>
      </c>
      <c r="J113" t="str" cm="1">
        <f t="array" ref="J113">+_xlfn.XLOOKUP(F113,Hoja5!$C$2:$C$420,Hoja5!$H$2:H$420)</f>
        <v>GPRS</v>
      </c>
      <c r="L113" t="str">
        <f>+_xlfn.XLOOKUP(B113,polaris!$B$2:$B$785,polaris!$C$2:$C$785)</f>
        <v>EL PROFUNDO [21197010; AO 11; FONDO ADAPTACION]</v>
      </c>
      <c r="M113" t="b">
        <f t="shared" si="1"/>
        <v>1</v>
      </c>
    </row>
    <row r="114" spans="1:13" x14ac:dyDescent="0.25">
      <c r="A114" s="9">
        <v>113</v>
      </c>
      <c r="B114" s="9">
        <v>157</v>
      </c>
      <c r="C114" s="10" t="s">
        <v>535</v>
      </c>
      <c r="D114" t="str">
        <f>+_xlfn.XLOOKUP(B114,polaris!$B$2:$B$785,polaris!$D$2:$D$785)</f>
        <v>HIDROLÓGICA</v>
      </c>
      <c r="E114"/>
      <c r="F114" s="26">
        <v>35037100</v>
      </c>
      <c r="G114" s="26" t="str" cm="1">
        <f t="array" ref="G114">+_xlfn.XLOOKUP(C114,Hoja1!$E$2:$E$420,Tabla1[Nombre])</f>
        <v>PUENTE ABADIA - AUT [35037100]</v>
      </c>
      <c r="H114" t="str">
        <f>+_xlfn.XLOOKUP(F114,Tabla1[Codigo],Tabla1[Nombre])</f>
        <v>PUENTE ABADIA - AUT [35037100]</v>
      </c>
      <c r="I114" t="str">
        <f>+_xlfn.XLOOKUP(F114,Hoja5!$C$2:$C$420,Hoja5!$G$2:$G$420)</f>
        <v>OFFLINE MANUAL</v>
      </c>
      <c r="J114" t="str" cm="1">
        <f t="array" ref="J114">+_xlfn.XLOOKUP(F114,Hoja5!$C$2:$C$420,Hoja5!$H$2:H$420)</f>
        <v>PROC SUSPENSION</v>
      </c>
      <c r="L114" t="str">
        <f>+_xlfn.XLOOKUP(B114,polaris!$B$2:$B$785,polaris!$C$2:$C$785)</f>
        <v>PUENTE ABADIA - AUT [35037100;AO 03;FONDO ADAPTACION]</v>
      </c>
      <c r="M114" t="b">
        <f t="shared" si="1"/>
        <v>1</v>
      </c>
    </row>
    <row r="115" spans="1:13" x14ac:dyDescent="0.25">
      <c r="A115" s="9">
        <v>114</v>
      </c>
      <c r="B115" s="9">
        <v>158</v>
      </c>
      <c r="C115" s="10" t="s">
        <v>536</v>
      </c>
      <c r="D115" t="str">
        <f>+_xlfn.XLOOKUP(B115,polaris!$B$2:$B$785,polaris!$D$2:$D$785)</f>
        <v>HIDROLÓGICA</v>
      </c>
      <c r="E115"/>
      <c r="F115" s="26">
        <v>23067080</v>
      </c>
      <c r="G115" s="26" t="str" cm="1">
        <f t="array" ref="G115">+_xlfn.XLOOKUP(C115,Hoja1!$E$2:$E$420,Tabla1[Nombre])</f>
        <v>CHARCO LARGO  - AUT [23067080]</v>
      </c>
      <c r="H115" t="str">
        <f>+_xlfn.XLOOKUP(F115,Tabla1[Codigo],Tabla1[Nombre])</f>
        <v>CHARCO LARGO  - AUT [23067080]</v>
      </c>
      <c r="I115" t="str">
        <f>+_xlfn.XLOOKUP(F115,Hoja5!$C$2:$C$420,Hoja5!$G$2:$G$420)</f>
        <v>DESCONECTADO</v>
      </c>
      <c r="J115" t="str" cm="1">
        <f t="array" ref="J115">+_xlfn.XLOOKUP(F115,Hoja5!$C$2:$C$420,Hoja5!$H$2:H$420)</f>
        <v>INMARSAT</v>
      </c>
      <c r="L115" t="str">
        <f>+_xlfn.XLOOKUP(B115,polaris!$B$2:$B$785,polaris!$C$2:$C$785)</f>
        <v>CHARCO LARGO [23067080; AO11; FONDO ADAPTACION]</v>
      </c>
      <c r="M115" t="b">
        <f t="shared" si="1"/>
        <v>1</v>
      </c>
    </row>
    <row r="116" spans="1:13" x14ac:dyDescent="0.25">
      <c r="A116" s="9">
        <v>115</v>
      </c>
      <c r="B116" s="9">
        <v>159</v>
      </c>
      <c r="C116" s="10" t="s">
        <v>537</v>
      </c>
      <c r="D116" t="str">
        <f>+_xlfn.XLOOKUP(B116,polaris!$B$2:$B$785,polaris!$D$2:$D$785)</f>
        <v>HIDROLÓGICA</v>
      </c>
      <c r="E116"/>
      <c r="F116" s="26">
        <v>16027300</v>
      </c>
      <c r="G116" s="26" t="str" cm="1">
        <f t="array" ref="G116">+_xlfn.XLOOKUP(C116,Hoja1!$E$2:$E$420,Tabla1[Nombre])</f>
        <v>PUENTE CAPIRA - AUT [16027300]</v>
      </c>
      <c r="H116" t="str">
        <f>+_xlfn.XLOOKUP(F116,Tabla1[Codigo],Tabla1[Nombre])</f>
        <v>PUENTE CAPIRA - AUT [16027300]</v>
      </c>
      <c r="I116" t="str">
        <f>+_xlfn.XLOOKUP(F116,Hoja5!$C$2:$C$420,Hoja5!$G$2:$G$420)</f>
        <v>DESCONECTADO</v>
      </c>
      <c r="J116" t="str" cm="1">
        <f t="array" ref="J116">+_xlfn.XLOOKUP(F116,Hoja5!$C$2:$C$420,Hoja5!$H$2:H$420)</f>
        <v>GPRS</v>
      </c>
      <c r="L116" t="str">
        <f>+_xlfn.XLOOKUP(B116,polaris!$B$2:$B$785,polaris!$C$2:$C$785)</f>
        <v>PUENTE CAPIRA - AUT [16027300; NDS; HID; INMARSAT; AO08; FONDO ADAPTACION]</v>
      </c>
      <c r="M116" t="b">
        <f t="shared" si="1"/>
        <v>1</v>
      </c>
    </row>
    <row r="117" spans="1:13" x14ac:dyDescent="0.25">
      <c r="A117" s="9">
        <v>116</v>
      </c>
      <c r="B117" s="9">
        <v>160</v>
      </c>
      <c r="C117" s="10" t="s">
        <v>538</v>
      </c>
      <c r="D117" t="str">
        <f>+_xlfn.XLOOKUP(B117,polaris!$B$2:$B$785,polaris!$D$2:$D$785)</f>
        <v>HIDROLÓGICA</v>
      </c>
      <c r="E117"/>
      <c r="F117" s="26">
        <v>21257120</v>
      </c>
      <c r="G117" s="26" t="str" cm="1">
        <f t="array" ref="G117">+_xlfn.XLOOKUP(C117,Hoja1!$E$2:$E$420,Tabla1[Nombre])</f>
        <v>PUENTE GATO NEGRO  - AUT [21257120]</v>
      </c>
      <c r="H117" t="str">
        <f>+_xlfn.XLOOKUP(F117,Tabla1[Codigo],Tabla1[Nombre])</f>
        <v>PUENTE GATO NEGRO  - AUT [21257120]</v>
      </c>
      <c r="I117" t="str">
        <f>+_xlfn.XLOOKUP(F117,Hoja5!$C$2:$C$420,Hoja5!$G$2:$G$420)</f>
        <v>DESCONECTADO</v>
      </c>
      <c r="J117" t="str" cm="1">
        <f t="array" ref="J117">+_xlfn.XLOOKUP(F117,Hoja5!$C$2:$C$420,Hoja5!$H$2:H$420)</f>
        <v>INMARSAT</v>
      </c>
      <c r="L117" t="str">
        <f>+_xlfn.XLOOKUP(B117,polaris!$B$2:$B$785,polaris!$C$2:$C$785)</f>
        <v>PUENTE GATO NEGRO  - AUT [21257120; TOL; HID; INMARSAT; AO10; FONDO ADAPTACION]</v>
      </c>
      <c r="M117" t="b">
        <f t="shared" si="1"/>
        <v>1</v>
      </c>
    </row>
    <row r="118" spans="1:13" x14ac:dyDescent="0.25">
      <c r="A118" s="9">
        <v>117</v>
      </c>
      <c r="B118" s="9">
        <v>161</v>
      </c>
      <c r="C118" s="10" t="s">
        <v>539</v>
      </c>
      <c r="D118" t="str">
        <f>+_xlfn.XLOOKUP(B118,polaris!$B$2:$B$785,polaris!$D$2:$D$785)</f>
        <v>HIDROLÓGICA</v>
      </c>
      <c r="E118"/>
      <c r="F118" s="26">
        <v>35017020</v>
      </c>
      <c r="G118" s="26" t="str" cm="1">
        <f t="array" ref="G118">+_xlfn.XLOOKUP(C118,Hoja1!$E$2:$E$420,Tabla1[Nombre])</f>
        <v>PUENTE LLERAS - AUT  [35017020]</v>
      </c>
      <c r="H118" t="str">
        <f>+_xlfn.XLOOKUP(F118,Tabla1[Codigo],Tabla1[Nombre])</f>
        <v>PUENTE LLERAS - AUT  [35017020]</v>
      </c>
      <c r="I118" t="str">
        <f>+_xlfn.XLOOKUP(F118,Hoja5!$C$2:$C$420,Hoja5!$G$2:$G$420)</f>
        <v>EN LINEA</v>
      </c>
      <c r="J118" t="str" cm="1">
        <f t="array" ref="J118">+_xlfn.XLOOKUP(F118,Hoja5!$C$2:$C$420,Hoja5!$H$2:H$420)</f>
        <v>GPRS</v>
      </c>
      <c r="L118" t="str">
        <f>+_xlfn.XLOOKUP(B118,polaris!$B$2:$B$785,polaris!$C$2:$C$785)</f>
        <v>PUENTE LLERAS - AUT [35017020;AO 03;FONDO ADAPTACION]</v>
      </c>
      <c r="M118" t="b">
        <f t="shared" si="1"/>
        <v>1</v>
      </c>
    </row>
    <row r="119" spans="1:13" x14ac:dyDescent="0.25">
      <c r="A119" s="9">
        <v>118</v>
      </c>
      <c r="B119" s="9">
        <v>162</v>
      </c>
      <c r="C119" s="10" t="s">
        <v>540</v>
      </c>
      <c r="D119" t="str">
        <f>+_xlfn.XLOOKUP(B119,polaris!$B$2:$B$785,polaris!$D$2:$D$785)</f>
        <v>HIDROLÓGICA</v>
      </c>
      <c r="E119"/>
      <c r="F119" s="26">
        <v>52077010</v>
      </c>
      <c r="G119" s="26" t="str" cm="1">
        <f t="array" ref="G119">+_xlfn.XLOOKUP(C119,Hoja1!$E$2:$E$420,Tabla1[Nombre])</f>
        <v>PUENTE PUSMEO - AUT [52077010]</v>
      </c>
      <c r="H119" t="str">
        <f>+_xlfn.XLOOKUP(F119,Tabla1[Codigo],Tabla1[Nombre])</f>
        <v>PUENTE PUSMEO - AUT [52077010]</v>
      </c>
      <c r="I119" t="str">
        <f>+_xlfn.XLOOKUP(F119,Hoja5!$C$2:$C$420,Hoja5!$G$2:$G$420)</f>
        <v>DESCONECTADO</v>
      </c>
      <c r="J119" t="str" cm="1">
        <f t="array" ref="J119">+_xlfn.XLOOKUP(F119,Hoja5!$C$2:$C$420,Hoja5!$H$2:H$420)</f>
        <v>GPRS</v>
      </c>
      <c r="L119" t="str">
        <f>+_xlfn.XLOOKUP(B119,polaris!$B$2:$B$785,polaris!$C$2:$C$785)</f>
        <v>PUENTE PUSMEO - AUT [52077010; AO-07; FONDO ADAPTACION]</v>
      </c>
      <c r="M119" t="b">
        <f t="shared" si="1"/>
        <v>1</v>
      </c>
    </row>
    <row r="120" spans="1:13" x14ac:dyDescent="0.25">
      <c r="A120" s="9">
        <v>119</v>
      </c>
      <c r="B120" s="9">
        <v>163</v>
      </c>
      <c r="C120" s="10" t="s">
        <v>541</v>
      </c>
      <c r="D120" t="str">
        <f>+_xlfn.XLOOKUP(B120,polaris!$B$2:$B$785,polaris!$D$2:$D$785)</f>
        <v>HIDROLÓGICA</v>
      </c>
      <c r="E120"/>
      <c r="F120" s="26">
        <v>32067030</v>
      </c>
      <c r="G120" s="26" t="str" cm="1">
        <f t="array" ref="G120">+_xlfn.XLOOKUP(C120,Hoja1!$E$2:$E$420,Tabla1[Nombre])</f>
        <v>PUERTO ANGOSTURAS  - AUT [32067030]</v>
      </c>
      <c r="H120" t="str">
        <f>+_xlfn.XLOOKUP(F120,Tabla1[Codigo],Tabla1[Nombre])</f>
        <v>PUERTO ANGOSTURAS  - AUT [32067030]</v>
      </c>
      <c r="I120" t="str">
        <f>+_xlfn.XLOOKUP(F120,Hoja5!$C$2:$C$420,Hoja5!$G$2:$G$420)</f>
        <v>OFFLINE MANUAL</v>
      </c>
      <c r="J120" t="str" cm="1">
        <f t="array" ref="J120">+_xlfn.XLOOKUP(F120,Hoja5!$C$2:$C$420,Hoja5!$H$2:H$420)</f>
        <v>PROC SUSPENSION</v>
      </c>
      <c r="L120" t="str">
        <f>+_xlfn.XLOOKUP(B120,polaris!$B$2:$B$785,polaris!$C$2:$C$785)</f>
        <v>PUERTO ANGOSTURAS - AUT [32067030; AO 03;IDEAM]</v>
      </c>
      <c r="M120" t="b">
        <f t="shared" si="1"/>
        <v>1</v>
      </c>
    </row>
    <row r="121" spans="1:13" x14ac:dyDescent="0.25">
      <c r="A121" s="9">
        <v>120</v>
      </c>
      <c r="B121" s="9">
        <v>164</v>
      </c>
      <c r="C121" s="10" t="s">
        <v>542</v>
      </c>
      <c r="D121" t="str">
        <f>+_xlfn.XLOOKUP(B121,polaris!$B$2:$B$785,polaris!$D$2:$D$785)</f>
        <v>METEOROLÓGICA</v>
      </c>
      <c r="E121"/>
      <c r="F121" s="26">
        <v>21160260</v>
      </c>
      <c r="G121" s="26" t="str" cm="1">
        <f t="array" ref="G121">+_xlfn.XLOOKUP(C121,Hoja1!$E$2:$E$420,Tabla1[Nombre])</f>
        <v>PUERTO LLERAS TOLIMA  - AUT [21160260]</v>
      </c>
      <c r="H121" t="str">
        <f>+_xlfn.XLOOKUP(F121,Tabla1[Codigo],Tabla1[Nombre])</f>
        <v>PUERTO LLERAS TOLIMA  - AUT [21160260]</v>
      </c>
      <c r="I121" t="str">
        <f>+_xlfn.XLOOKUP(F121,Hoja5!$C$2:$C$420,Hoja5!$G$2:$G$420)</f>
        <v>DESCONECTADO</v>
      </c>
      <c r="J121" t="str" cm="1">
        <f t="array" ref="J121">+_xlfn.XLOOKUP(F121,Hoja5!$C$2:$C$420,Hoja5!$H$2:H$420)</f>
        <v>INMARSAT</v>
      </c>
      <c r="L121" t="str">
        <f>+_xlfn.XLOOKUP(B121,polaris!$B$2:$B$785,polaris!$C$2:$C$785)</f>
        <v>PUERTO LLERAS TOLIMA  - AUT [21160260; TOL; MET; INMARSAT; AO10; FONDO ADAPTACION]</v>
      </c>
      <c r="M121" t="b">
        <f t="shared" si="1"/>
        <v>1</v>
      </c>
    </row>
    <row r="122" spans="1:13" x14ac:dyDescent="0.25">
      <c r="A122" s="9">
        <v>121</v>
      </c>
      <c r="B122" s="9">
        <v>165</v>
      </c>
      <c r="C122" s="10" t="s">
        <v>543</v>
      </c>
      <c r="D122" t="str">
        <f>+_xlfn.XLOOKUP(B122,polaris!$B$2:$B$785,polaris!$D$2:$D$785)</f>
        <v>HIDROLÓGICA</v>
      </c>
      <c r="E122"/>
      <c r="F122" s="26">
        <v>23037010</v>
      </c>
      <c r="G122" s="26" t="str" cm="1">
        <f t="array" ref="G122">+_xlfn.XLOOKUP(C122,Hoja1!$E$2:$E$420,Tabla1[Nombre])</f>
        <v>PUERTO SALGAR - AUT [23037010]</v>
      </c>
      <c r="H122" t="str">
        <f>+_xlfn.XLOOKUP(F122,Tabla1[Codigo],Tabla1[Nombre])</f>
        <v>PUERTO SALGAR - AUT [23037010]</v>
      </c>
      <c r="I122" t="str">
        <f>+_xlfn.XLOOKUP(F122,Hoja5!$C$2:$C$420,Hoja5!$G$2:$G$420)</f>
        <v>DESCONECTADO</v>
      </c>
      <c r="J122" t="str" cm="1">
        <f t="array" ref="J122">+_xlfn.XLOOKUP(F122,Hoja5!$C$2:$C$420,Hoja5!$H$2:H$420)</f>
        <v>GPRS</v>
      </c>
      <c r="L122" t="str">
        <f>+_xlfn.XLOOKUP(B122,polaris!$B$2:$B$785,polaris!$C$2:$C$785)</f>
        <v>PUERTO SALGAR - AUT [23037010; AO 10; HID; GPRS; FONDO ADAPTACION]</v>
      </c>
      <c r="M122" t="b">
        <f t="shared" si="1"/>
        <v>1</v>
      </c>
    </row>
    <row r="123" spans="1:13" x14ac:dyDescent="0.25">
      <c r="A123" s="9">
        <v>122</v>
      </c>
      <c r="B123" s="9">
        <v>166</v>
      </c>
      <c r="C123" s="10" t="s">
        <v>544</v>
      </c>
      <c r="D123" t="str">
        <f>+_xlfn.XLOOKUP(B123,polaris!$B$2:$B$785,polaris!$D$2:$D$785)</f>
        <v>HIDROLÓGICA</v>
      </c>
      <c r="E123"/>
      <c r="F123" s="26">
        <v>21117100</v>
      </c>
      <c r="G123" s="26" t="str" cm="1">
        <f t="array" ref="G123">+_xlfn.XLOOKUP(C123,Hoja1!$E$2:$E$420,Tabla1[Nombre])</f>
        <v>PUEBLO NUEVO - AUT [21117100]</v>
      </c>
      <c r="H123" t="str">
        <f>+_xlfn.XLOOKUP(F123,Tabla1[Codigo],Tabla1[Nombre])</f>
        <v>PUEBLO NUEVO - AUT [21117100]</v>
      </c>
      <c r="I123" t="str">
        <f>+_xlfn.XLOOKUP(F123,Hoja5!$C$2:$C$420,Hoja5!$G$2:$G$420)</f>
        <v>DESCONECTADO</v>
      </c>
      <c r="J123" t="str" cm="1">
        <f t="array" ref="J123">+_xlfn.XLOOKUP(F123,Hoja5!$C$2:$C$420,Hoja5!$H$2:H$420)</f>
        <v>INMARSAT</v>
      </c>
      <c r="L123" t="str">
        <f>+_xlfn.XLOOKUP(B123,polaris!$B$2:$B$785,polaris!$C$2:$C$785)</f>
        <v>PUEBLO NUEVO - AUT [21117100; HUI; HID; INMARSAT; AO04; FONDO ADAPTACION]</v>
      </c>
      <c r="M123" t="b">
        <f t="shared" si="1"/>
        <v>1</v>
      </c>
    </row>
    <row r="124" spans="1:13" x14ac:dyDescent="0.25">
      <c r="A124" s="9">
        <v>123</v>
      </c>
      <c r="B124" s="9">
        <v>168</v>
      </c>
      <c r="C124" s="10" t="s">
        <v>545</v>
      </c>
      <c r="D124" t="str">
        <f>+_xlfn.XLOOKUP(B124,polaris!$B$2:$B$785,polaris!$D$2:$D$785)</f>
        <v>METEOROLÓGICA</v>
      </c>
      <c r="E124"/>
      <c r="F124" s="26">
        <v>21015050</v>
      </c>
      <c r="G124" s="26" t="str" cm="1">
        <f t="array" ref="G124">+_xlfn.XLOOKUP(C124,Hoja1!$E$2:$E$420,Tabla1[Nombre])</f>
        <v>PURACE  - AUT [21015050]</v>
      </c>
      <c r="H124" t="str">
        <f>+_xlfn.XLOOKUP(F124,Tabla1[Codigo],Tabla1[Nombre])</f>
        <v>PURACE  - AUT [21015050]</v>
      </c>
      <c r="I124" t="str">
        <f>+_xlfn.XLOOKUP(F124,Hoja5!$C$2:$C$420,Hoja5!$G$2:$G$420)</f>
        <v>DESCONECTADO</v>
      </c>
      <c r="J124" t="str" cm="1">
        <f t="array" ref="J124">+_xlfn.XLOOKUP(F124,Hoja5!$C$2:$C$420,Hoja5!$H$2:H$420)</f>
        <v>INMARSAT</v>
      </c>
      <c r="L124" t="str">
        <f>+_xlfn.XLOOKUP(B124,polaris!$B$2:$B$785,polaris!$C$2:$C$785)</f>
        <v>PURACE  - AUT [21015050; HUI; MET; INMARSAT; AO04; FONDO ADAPTACION]</v>
      </c>
      <c r="M124" t="b">
        <f t="shared" si="1"/>
        <v>1</v>
      </c>
    </row>
    <row r="125" spans="1:13" x14ac:dyDescent="0.25">
      <c r="A125" s="9">
        <v>124</v>
      </c>
      <c r="B125" s="9">
        <v>169</v>
      </c>
      <c r="C125" s="10" t="s">
        <v>546</v>
      </c>
      <c r="D125" t="str">
        <f>+_xlfn.XLOOKUP(B125,polaris!$B$2:$B$785,polaris!$D$2:$D$785)</f>
        <v>METEOROLÓGICA</v>
      </c>
      <c r="E125"/>
      <c r="F125" s="26">
        <v>23065190</v>
      </c>
      <c r="G125" s="26" t="str" cm="1">
        <f t="array" ref="G125">+_xlfn.XLOOKUP(C125,Hoja1!$E$2:$E$420,Tabla1[Nombre])</f>
        <v>QUEBRADA NEGRA - AUT [23065190]</v>
      </c>
      <c r="H125" t="str">
        <f>+_xlfn.XLOOKUP(F125,Tabla1[Codigo],Tabla1[Nombre])</f>
        <v>QUEBRADA NEGRA - AUT [23065190]</v>
      </c>
      <c r="I125" t="str">
        <f>+_xlfn.XLOOKUP(F125,Hoja5!$C$2:$C$420,Hoja5!$G$2:$G$420)</f>
        <v>EN LINEA</v>
      </c>
      <c r="J125" t="str" cm="1">
        <f t="array" ref="J125">+_xlfn.XLOOKUP(F125,Hoja5!$C$2:$C$420,Hoja5!$H$2:H$420)</f>
        <v>GPRS</v>
      </c>
      <c r="L125" t="str">
        <f>+_xlfn.XLOOKUP(B125,polaris!$B$2:$B$785,polaris!$C$2:$C$785)</f>
        <v>QUEBRADA NEGRA [23065190; AO 11; FONDO ADAPTACION]</v>
      </c>
      <c r="M125" t="b">
        <f t="shared" si="1"/>
        <v>1</v>
      </c>
    </row>
    <row r="126" spans="1:13" x14ac:dyDescent="0.25">
      <c r="A126" s="9">
        <v>125</v>
      </c>
      <c r="B126" s="9">
        <v>172</v>
      </c>
      <c r="C126" s="10" t="s">
        <v>547</v>
      </c>
      <c r="D126" t="str">
        <f>+_xlfn.XLOOKUP(B126,polaris!$B$2:$B$785,polaris!$D$2:$D$785)</f>
        <v>HIDROLÓGICA</v>
      </c>
      <c r="E126"/>
      <c r="F126" s="26">
        <v>26137220</v>
      </c>
      <c r="G126" s="26" t="str" cm="1">
        <f t="array" ref="G126">+_xlfn.XLOOKUP(C126,Hoja1!$E$2:$E$420,Tabla1[Nombre])</f>
        <v>EL RETEN - AUT [26137220]</v>
      </c>
      <c r="H126" t="str">
        <f>+_xlfn.XLOOKUP(F126,Tabla1[Codigo],Tabla1[Nombre])</f>
        <v>EL RETEN - AUT [26137220]</v>
      </c>
      <c r="I126" t="str">
        <f>+_xlfn.XLOOKUP(F126,Hoja5!$C$2:$C$420,Hoja5!$G$2:$G$420)</f>
        <v>EN LINEA</v>
      </c>
      <c r="J126" t="str" cm="1">
        <f t="array" ref="J126">+_xlfn.XLOOKUP(F126,Hoja5!$C$2:$C$420,Hoja5!$H$2:H$420)</f>
        <v>GOES</v>
      </c>
      <c r="L126" t="str">
        <f>+_xlfn.XLOOKUP(B126,polaris!$B$2:$B$785,polaris!$C$2:$C$785)</f>
        <v>EL RETEN - AUT [26137220;GOES; AO09; FONDO ADAPTACION]</v>
      </c>
      <c r="M126" t="b">
        <f t="shared" si="1"/>
        <v>1</v>
      </c>
    </row>
    <row r="127" spans="1:13" x14ac:dyDescent="0.25">
      <c r="A127" s="9">
        <v>126</v>
      </c>
      <c r="B127" s="9">
        <v>173</v>
      </c>
      <c r="C127" s="10" t="s">
        <v>548</v>
      </c>
      <c r="D127" t="str">
        <f>+_xlfn.XLOOKUP(B127,polaris!$B$2:$B$785,polaris!$D$2:$D$785)</f>
        <v>METEOROLÓGICA</v>
      </c>
      <c r="E127"/>
      <c r="F127" s="26">
        <v>26157190</v>
      </c>
      <c r="G127" s="26" t="str" cm="1">
        <f t="array" ref="G127">+_xlfn.XLOOKUP(C127,Hoja1!$E$2:$E$420,Tabla1[Nombre])</f>
        <v>RIO CLARO - AUT [26157190]</v>
      </c>
      <c r="H127" t="str">
        <f>+_xlfn.XLOOKUP(F127,Tabla1[Codigo],Tabla1[Nombre])</f>
        <v>RIO CLARO - AUT [26157190]</v>
      </c>
      <c r="I127" t="str">
        <f>+_xlfn.XLOOKUP(F127,Hoja5!$C$2:$C$420,Hoja5!$G$2:$G$420)</f>
        <v>DESCONECTADO</v>
      </c>
      <c r="J127" t="str" cm="1">
        <f t="array" ref="J127">+_xlfn.XLOOKUP(F127,Hoja5!$C$2:$C$420,Hoja5!$H$2:H$420)</f>
        <v>INMARSAT</v>
      </c>
      <c r="L127" t="str">
        <f>+_xlfn.XLOOKUP(B127,polaris!$B$2:$B$785,polaris!$C$2:$C$785)</f>
        <v>RIO CLARO - AUT [26157190; CAL; HID; INMARSAT; AO09; FONDO ADAPTACION]</v>
      </c>
      <c r="M127" t="b">
        <f t="shared" si="1"/>
        <v>1</v>
      </c>
    </row>
    <row r="128" spans="1:13" x14ac:dyDescent="0.25">
      <c r="A128" s="9">
        <v>127</v>
      </c>
      <c r="B128" s="9">
        <v>174</v>
      </c>
      <c r="C128" s="94" t="s">
        <v>549</v>
      </c>
      <c r="D128" t="str">
        <f>+_xlfn.XLOOKUP(B128,polaris!$B$2:$B$785,polaris!$D$2:$D$785)</f>
        <v>METEOROLÓGICA</v>
      </c>
      <c r="E128"/>
      <c r="F128" s="92">
        <v>23125160</v>
      </c>
      <c r="G128" s="26" t="e" cm="1">
        <f t="array" ref="G128">+_xlfn.XLOOKUP(C128,Hoja1!$E$2:$E$420,Tabla1[Nombre])</f>
        <v>#N/A</v>
      </c>
      <c r="H128" t="str">
        <f>+_xlfn.XLOOKUP(F128,Tabla1[Codigo],Tabla1[Nombre])</f>
        <v>BORBUR 2 [23120250]     (antes SAN PABLO DE BORBUR  - AUT [23125160])</v>
      </c>
      <c r="I128" t="str">
        <f>+_xlfn.XLOOKUP(F128,Hoja5!$C$2:$C$420,Hoja5!$G$2:$G$420)</f>
        <v>EN LINEA</v>
      </c>
      <c r="J128" t="str" cm="1">
        <f t="array" ref="J128">+_xlfn.XLOOKUP(F128,Hoja5!$C$2:$C$420,Hoja5!$H$2:H$420)</f>
        <v>GPRS</v>
      </c>
      <c r="L128" t="str">
        <f>+_xlfn.XLOOKUP(B128,polaris!$B$2:$B$785,polaris!$C$2:$C$785)</f>
        <v>BORBUR  2 - AUT [23120250; AO06; MET;  FONDO ADAPTACION]</v>
      </c>
      <c r="M128" t="b">
        <f t="shared" si="1"/>
        <v>1</v>
      </c>
    </row>
    <row r="129" spans="1:13" x14ac:dyDescent="0.25">
      <c r="A129" s="9">
        <v>128</v>
      </c>
      <c r="B129" s="9">
        <v>175</v>
      </c>
      <c r="C129" s="10" t="s">
        <v>550</v>
      </c>
      <c r="D129" t="str">
        <f>+_xlfn.XLOOKUP(B129,polaris!$B$2:$B$785,polaris!$D$2:$D$785)</f>
        <v>METEOROLÓGICA</v>
      </c>
      <c r="E129"/>
      <c r="F129" s="26">
        <v>46015030</v>
      </c>
      <c r="G129" s="26" t="str" cm="1">
        <f t="array" ref="G129">+_xlfn.XLOOKUP(C129,Hoja1!$E$2:$E$420,Tabla1[Nombre])</f>
        <v>SAN VICENTE DEL CAGUAN  - AUT [46015030]</v>
      </c>
      <c r="H129" t="str">
        <f>+_xlfn.XLOOKUP(F129,Tabla1[Codigo],Tabla1[Nombre])</f>
        <v>SAN VICENTE DEL CAGUAN  - AUT [46015030]</v>
      </c>
      <c r="I129" t="str">
        <f>+_xlfn.XLOOKUP(F129,Hoja5!$C$2:$C$420,Hoja5!$G$2:$G$420)</f>
        <v>DESCONECTADO</v>
      </c>
      <c r="J129" t="str" cm="1">
        <f t="array" ref="J129">+_xlfn.XLOOKUP(F129,Hoja5!$C$2:$C$420,Hoja5!$H$2:H$420)</f>
        <v>INMARSAT</v>
      </c>
      <c r="L129" t="str">
        <f>+_xlfn.XLOOKUP(B129,polaris!$B$2:$B$785,polaris!$C$2:$C$785)</f>
        <v>SAN VICENTE DEL CAGUAN  - AUT [46015030; CAQ; MET; INMARSAT; AO04; FONDO ADAPTACION]</v>
      </c>
      <c r="M129" t="b">
        <f t="shared" si="1"/>
        <v>1</v>
      </c>
    </row>
    <row r="130" spans="1:13" x14ac:dyDescent="0.25">
      <c r="A130" s="9">
        <v>129</v>
      </c>
      <c r="B130" s="9">
        <v>176</v>
      </c>
      <c r="C130" s="10" t="s">
        <v>551</v>
      </c>
      <c r="D130" t="str">
        <f>+_xlfn.XLOOKUP(B130,polaris!$B$2:$B$785,polaris!$D$2:$D$785)</f>
        <v>METEOROLÓGICA</v>
      </c>
      <c r="E130"/>
      <c r="F130" s="26">
        <v>24055070</v>
      </c>
      <c r="G130" s="26" t="str" cm="1">
        <f t="array" ref="G130">+_xlfn.XLOOKUP(C130,Hoja1!$E$2:$E$420,Tabla1[Nombre])</f>
        <v>SAN  VICENTE DE CHUCURI  - AUT [24055070]</v>
      </c>
      <c r="H130" t="str">
        <f>+_xlfn.XLOOKUP(F130,Tabla1[Codigo],Tabla1[Nombre])</f>
        <v>SAN  VICENTE DE CHUCURI  - AUT [24055070]</v>
      </c>
      <c r="I130" t="str">
        <f>+_xlfn.XLOOKUP(F130,Hoja5!$C$2:$C$420,Hoja5!$G$2:$G$420)</f>
        <v>EN LINEA</v>
      </c>
      <c r="J130" t="str" cm="1">
        <f t="array" ref="J130">+_xlfn.XLOOKUP(F130,Hoja5!$C$2:$C$420,Hoja5!$H$2:H$420)</f>
        <v>GPRS</v>
      </c>
      <c r="L130" t="str">
        <f>+_xlfn.XLOOKUP(B130,polaris!$B$2:$B$785,polaris!$C$2:$C$785)</f>
        <v>SAN  VICENTE DE CHUCURI  - AUT [24055070; AO 08; MET; GPRS; FONDO ADAPTACION]</v>
      </c>
      <c r="M130" t="b">
        <f t="shared" si="1"/>
        <v>1</v>
      </c>
    </row>
    <row r="131" spans="1:13" x14ac:dyDescent="0.25">
      <c r="A131" s="9">
        <v>130</v>
      </c>
      <c r="B131" s="9">
        <v>177</v>
      </c>
      <c r="C131" s="10" t="s">
        <v>552</v>
      </c>
      <c r="D131" t="str">
        <f>+_xlfn.XLOOKUP(B131,polaris!$B$2:$B$785,polaris!$D$2:$D$785)</f>
        <v>METEOROLÓGICA</v>
      </c>
      <c r="E131"/>
      <c r="F131" s="26">
        <v>23180070</v>
      </c>
      <c r="G131" s="26" t="str" cm="1">
        <f t="array" ref="G131">+_xlfn.XLOOKUP(C131,Hoja1!$E$2:$E$420,Tabla1[Nombre])</f>
        <v>SABANA DE TORRES [23180070]</v>
      </c>
      <c r="H131" t="str">
        <f>+_xlfn.XLOOKUP(F131,Tabla1[Codigo],Tabla1[Nombre])</f>
        <v>SABANA DE TORRES [23180070]</v>
      </c>
      <c r="I131" t="str">
        <f>+_xlfn.XLOOKUP(F131,Hoja5!$C$2:$C$420,Hoja5!$G$2:$G$420)</f>
        <v>EN LINEA</v>
      </c>
      <c r="J131" t="str" cm="1">
        <f t="array" ref="J131">+_xlfn.XLOOKUP(F131,Hoja5!$C$2:$C$420,Hoja5!$H$2:H$420)</f>
        <v>GPRS</v>
      </c>
      <c r="L131" t="str">
        <f>+_xlfn.XLOOKUP(B131,polaris!$B$2:$B$785,polaris!$C$2:$C$785)</f>
        <v>SABANA DE TORRES [23180070; AO 08; MET; GPRS; FONDO ADAPTACION]</v>
      </c>
      <c r="M131" t="b">
        <f t="shared" ref="M131:M194" si="2">+L131=C131</f>
        <v>1</v>
      </c>
    </row>
    <row r="132" spans="1:13" x14ac:dyDescent="0.25">
      <c r="A132" s="9">
        <v>131</v>
      </c>
      <c r="B132" s="9">
        <v>179</v>
      </c>
      <c r="C132" s="10" t="s">
        <v>553</v>
      </c>
      <c r="D132" t="str">
        <f>+_xlfn.XLOOKUP(B132,polaris!$B$2:$B$785,polaris!$D$2:$D$785)</f>
        <v>METEOROLÓGICA</v>
      </c>
      <c r="E132"/>
      <c r="F132" s="26">
        <v>26155270</v>
      </c>
      <c r="G132" s="26" t="str" cm="1">
        <f t="array" ref="G132">+_xlfn.XLOOKUP(C132,Hoja1!$E$2:$E$420,Tabla1[Nombre])</f>
        <v>SAN ANTONIO CALDAS - AUT [26155270]</v>
      </c>
      <c r="H132" t="str">
        <f>+_xlfn.XLOOKUP(F132,Tabla1[Codigo],Tabla1[Nombre])</f>
        <v>SAN ANTONIO CALDAS - AUT [26155270]</v>
      </c>
      <c r="I132" t="str">
        <f>+_xlfn.XLOOKUP(F132,Hoja5!$C$2:$C$420,Hoja5!$G$2:$G$420)</f>
        <v>DESCONECTADO</v>
      </c>
      <c r="J132" t="str" cm="1">
        <f t="array" ref="J132">+_xlfn.XLOOKUP(F132,Hoja5!$C$2:$C$420,Hoja5!$H$2:H$420)</f>
        <v>INMARSAT</v>
      </c>
      <c r="L132" t="str">
        <f>+_xlfn.XLOOKUP(B132,polaris!$B$2:$B$785,polaris!$C$2:$C$785)</f>
        <v>SAN ANTONIO CALDAS - AUT [26155270; CAL; MET; INMARSAT; AO09; FONDO ADAPTACION]</v>
      </c>
      <c r="M132" t="b">
        <f t="shared" si="2"/>
        <v>1</v>
      </c>
    </row>
    <row r="133" spans="1:13" x14ac:dyDescent="0.25">
      <c r="A133" s="9">
        <v>132</v>
      </c>
      <c r="B133" s="9">
        <v>180</v>
      </c>
      <c r="C133" s="10" t="s">
        <v>554</v>
      </c>
      <c r="D133" t="str">
        <f>+_xlfn.XLOOKUP(B133,polaris!$B$2:$B$785,polaris!$D$2:$D$785)</f>
        <v>METEOROLÓGICA</v>
      </c>
      <c r="E133"/>
      <c r="F133" s="26">
        <v>26015050</v>
      </c>
      <c r="G133" s="26" t="str" cm="1">
        <f t="array" ref="G133">+_xlfn.XLOOKUP(C133,Hoja1!$E$2:$E$420,Tabla1[Nombre])</f>
        <v>PALETARA  - AUT [26015050]</v>
      </c>
      <c r="H133" t="str">
        <f>+_xlfn.XLOOKUP(F133,Tabla1[Codigo],Tabla1[Nombre])</f>
        <v>PALETARA  - AUT [26015050]</v>
      </c>
      <c r="I133" t="str">
        <f>+_xlfn.XLOOKUP(F133,Hoja5!$C$2:$C$420,Hoja5!$G$2:$G$420)</f>
        <v>DESCONECTADO</v>
      </c>
      <c r="J133" t="str" cm="1">
        <f t="array" ref="J133">+_xlfn.XLOOKUP(F133,Hoja5!$C$2:$C$420,Hoja5!$H$2:H$420)</f>
        <v>INMARSAT</v>
      </c>
      <c r="L133" t="str">
        <f>+_xlfn.XLOOKUP(B133,polaris!$B$2:$B$785,polaris!$C$2:$C$785)</f>
        <v>PALETARA  - AUT [26015050;CAU; MET; INMARSAT; AO09; FONDO ADAPTACION]</v>
      </c>
      <c r="M133" t="b">
        <f t="shared" si="2"/>
        <v>1</v>
      </c>
    </row>
    <row r="134" spans="1:13" x14ac:dyDescent="0.25">
      <c r="A134" s="9">
        <v>133</v>
      </c>
      <c r="B134" s="9">
        <v>181</v>
      </c>
      <c r="C134" s="10" t="s">
        <v>555</v>
      </c>
      <c r="D134" t="str">
        <f>+_xlfn.XLOOKUP(B134,polaris!$B$2:$B$785,polaris!$D$2:$D$785)</f>
        <v>HIDROLÓGICA</v>
      </c>
      <c r="E134"/>
      <c r="F134" s="26">
        <v>26217010</v>
      </c>
      <c r="G134" s="26" t="str" cm="1">
        <f t="array" ref="G134">+_xlfn.XLOOKUP(C134,Hoja1!$E$2:$E$420,Tabla1[Nombre])</f>
        <v>LA GALERA - AUT [26217010]</v>
      </c>
      <c r="H134" t="str">
        <f>+_xlfn.XLOOKUP(F134,Tabla1[Codigo],Tabla1[Nombre])</f>
        <v>LA GALERA - AUT [26217010]</v>
      </c>
      <c r="I134" t="str">
        <f>+_xlfn.XLOOKUP(F134,Hoja5!$C$2:$C$420,Hoja5!$G$2:$G$420)</f>
        <v>EN LINEA</v>
      </c>
      <c r="J134" t="str" cm="1">
        <f t="array" ref="J134">+_xlfn.XLOOKUP(F134,Hoja5!$C$2:$C$420,Hoja5!$H$2:H$420)</f>
        <v>GPRS</v>
      </c>
      <c r="L134" t="str">
        <f>+_xlfn.XLOOKUP(B134,polaris!$B$2:$B$785,polaris!$C$2:$C$785)</f>
        <v>LA GALERA [26217010;AO 01;FONDO ADAPTACION]</v>
      </c>
      <c r="M134" t="b">
        <f t="shared" si="2"/>
        <v>1</v>
      </c>
    </row>
    <row r="135" spans="1:13" x14ac:dyDescent="0.25">
      <c r="A135" s="9">
        <v>134</v>
      </c>
      <c r="B135" s="9">
        <v>183</v>
      </c>
      <c r="C135" s="10" t="s">
        <v>556</v>
      </c>
      <c r="D135" t="str">
        <f>+_xlfn.XLOOKUP(B135,polaris!$B$2:$B$785,polaris!$D$2:$D$785)</f>
        <v>METEOROLÓGICA</v>
      </c>
      <c r="E135"/>
      <c r="F135" s="26">
        <v>23125170</v>
      </c>
      <c r="G135" s="26" t="str" cm="1">
        <f t="array" ref="G135">+_xlfn.XLOOKUP(C135,Hoja1!$E$2:$E$420,Tabla1[Nombre])</f>
        <v>SAN CAYETANO - AUT [23125170]</v>
      </c>
      <c r="H135" t="str">
        <f>+_xlfn.XLOOKUP(F135,Tabla1[Codigo],Tabla1[Nombre])</f>
        <v>SAN CAYETANO - AUT [23125170]</v>
      </c>
      <c r="I135" t="str">
        <f>+_xlfn.XLOOKUP(F135,Hoja5!$C$2:$C$420,Hoja5!$G$2:$G$420)</f>
        <v>EN LINEA</v>
      </c>
      <c r="J135" t="str" cm="1">
        <f t="array" ref="J135">+_xlfn.XLOOKUP(F135,Hoja5!$C$2:$C$420,Hoja5!$H$2:H$420)</f>
        <v>GPRS</v>
      </c>
      <c r="L135" t="str">
        <f>+_xlfn.XLOOKUP(B135,polaris!$B$2:$B$785,polaris!$C$2:$C$785)</f>
        <v>SAN CAYETANO [23125170; AO11; FONDO ADAPTACION]</v>
      </c>
      <c r="M135" t="b">
        <f t="shared" si="2"/>
        <v>1</v>
      </c>
    </row>
    <row r="136" spans="1:13" x14ac:dyDescent="0.25">
      <c r="A136" s="9">
        <v>135</v>
      </c>
      <c r="B136" s="9">
        <v>184</v>
      </c>
      <c r="C136" s="10" t="s">
        <v>557</v>
      </c>
      <c r="D136" t="str">
        <f>+_xlfn.XLOOKUP(B136,polaris!$B$2:$B$785,polaris!$D$2:$D$785)</f>
        <v>METEOROLÓGICA</v>
      </c>
      <c r="E136"/>
      <c r="F136" s="26">
        <v>25025340</v>
      </c>
      <c r="G136" s="26" t="str" cm="1">
        <f t="array" ref="G136">+_xlfn.XLOOKUP(C136,Hoja1!$E$2:$E$420,Tabla1[Nombre])</f>
        <v>SAN MARCOS - AUT [25025340]</v>
      </c>
      <c r="H136" t="str">
        <f>+_xlfn.XLOOKUP(F136,Tabla1[Codigo],Tabla1[Nombre])</f>
        <v>SAN MARCOS - AUT [25025340]</v>
      </c>
      <c r="I136" t="str">
        <f>+_xlfn.XLOOKUP(F136,Hoja5!$C$2:$C$420,Hoja5!$G$2:$G$420)</f>
        <v>DESCONECTADO</v>
      </c>
      <c r="J136" t="str" cm="1">
        <f t="array" ref="J136">+_xlfn.XLOOKUP(F136,Hoja5!$C$2:$C$420,Hoja5!$H$2:H$420)</f>
        <v>INMARSAT</v>
      </c>
      <c r="L136" t="str">
        <f>+_xlfn.XLOOKUP(B136,polaris!$B$2:$B$785,polaris!$C$2:$C$785)</f>
        <v>SAN MARCOS - AUT [25025340; AO02; FONDO ADAPTACION]</v>
      </c>
      <c r="M136" t="b">
        <f t="shared" si="2"/>
        <v>1</v>
      </c>
    </row>
    <row r="137" spans="1:13" x14ac:dyDescent="0.25">
      <c r="A137" s="9">
        <v>136</v>
      </c>
      <c r="B137" s="9">
        <v>185</v>
      </c>
      <c r="C137" s="10" t="s">
        <v>558</v>
      </c>
      <c r="D137" t="str">
        <f>+_xlfn.XLOOKUP(B137,polaris!$B$2:$B$785,polaris!$D$2:$D$785)</f>
        <v>HIDROLÓGICA</v>
      </c>
      <c r="E137"/>
      <c r="F137" s="26">
        <v>21167060</v>
      </c>
      <c r="G137" s="26" t="str" cm="1">
        <f t="array" ref="G137">+_xlfn.XLOOKUP(C137,Hoja1!$E$2:$E$420,Tabla1[Nombre])</f>
        <v>SAN PABLO TOLIMA  - AUT [21167060]</v>
      </c>
      <c r="H137" t="str">
        <f>+_xlfn.XLOOKUP(F137,Tabla1[Codigo],Tabla1[Nombre])</f>
        <v>SAN PABLO TOLIMA  - AUT [21167060]</v>
      </c>
      <c r="I137" t="str">
        <f>+_xlfn.XLOOKUP(F137,Hoja5!$C$2:$C$420,Hoja5!$G$2:$G$420)</f>
        <v>DESCONECTADO</v>
      </c>
      <c r="J137" t="str" cm="1">
        <f t="array" ref="J137">+_xlfn.XLOOKUP(F137,Hoja5!$C$2:$C$420,Hoja5!$H$2:H$420)</f>
        <v>INMARSAT</v>
      </c>
      <c r="L137" t="str">
        <f>+_xlfn.XLOOKUP(B137,polaris!$B$2:$B$785,polaris!$C$2:$C$785)</f>
        <v>SAN PABLO TOLIMA  - AUT [21167060; TOL; HID; INMARSAT; AO10; FONDO ADAPTACION]</v>
      </c>
      <c r="M137" t="b">
        <f t="shared" si="2"/>
        <v>1</v>
      </c>
    </row>
    <row r="138" spans="1:13" x14ac:dyDescent="0.25">
      <c r="A138" s="9">
        <v>137</v>
      </c>
      <c r="B138" s="9">
        <v>187</v>
      </c>
      <c r="C138" s="10" t="s">
        <v>559</v>
      </c>
      <c r="D138" t="str">
        <f>+_xlfn.XLOOKUP(B138,polaris!$B$2:$B$785,polaris!$D$2:$D$785)</f>
        <v>HIDROLÓGICA</v>
      </c>
      <c r="E138"/>
      <c r="F138" s="26">
        <v>25017020</v>
      </c>
      <c r="G138" s="26" t="str" cm="1">
        <f t="array" ref="G138">+_xlfn.XLOOKUP(C138,Hoja1!$E$2:$E$420,Tabla1[Nombre])</f>
        <v>SAN PEDRO - AUT [25017020]</v>
      </c>
      <c r="H138" t="str">
        <f>+_xlfn.XLOOKUP(F138,Tabla1[Codigo],Tabla1[Nombre])</f>
        <v>SAN PEDRO - AUT [25017020]</v>
      </c>
      <c r="I138" t="str">
        <f>+_xlfn.XLOOKUP(F138,Hoja5!$C$2:$C$420,Hoja5!$G$2:$G$420)</f>
        <v>EN LINEA</v>
      </c>
      <c r="J138" t="str" cm="1">
        <f t="array" ref="J138">+_xlfn.XLOOKUP(F138,Hoja5!$C$2:$C$420,Hoja5!$H$2:H$420)</f>
        <v>GOES</v>
      </c>
      <c r="L138" t="str">
        <f>+_xlfn.XLOOKUP(B138,polaris!$B$2:$B$785,polaris!$C$2:$C$785)</f>
        <v>SAN PEDRO - AUT [25017020; AO02; FONDO ADAPTACION]</v>
      </c>
      <c r="M138" t="b">
        <f t="shared" si="2"/>
        <v>1</v>
      </c>
    </row>
    <row r="139" spans="1:13" x14ac:dyDescent="0.25">
      <c r="A139" s="9">
        <v>138</v>
      </c>
      <c r="B139" s="9">
        <v>188</v>
      </c>
      <c r="C139" s="10" t="s">
        <v>560</v>
      </c>
      <c r="D139" t="str">
        <f>+_xlfn.XLOOKUP(B139,polaris!$B$2:$B$785,polaris!$D$2:$D$785)</f>
        <v>METEOROLÓGICA</v>
      </c>
      <c r="E139"/>
      <c r="F139" s="26">
        <v>26185050</v>
      </c>
      <c r="G139" s="26" t="str" cm="1">
        <f t="array" ref="G139">+_xlfn.XLOOKUP(C139,Hoja1!$E$2:$E$420,Tabla1[Nombre])</f>
        <v>SANTA BARBARA - AUT [26185050]</v>
      </c>
      <c r="H139" t="str">
        <f>+_xlfn.XLOOKUP(F139,Tabla1[Codigo],Tabla1[Nombre])</f>
        <v>SANTA BARBARA - AUT [26185050]</v>
      </c>
      <c r="I139" t="str">
        <f>+_xlfn.XLOOKUP(F139,Hoja5!$C$2:$C$420,Hoja5!$G$2:$G$420)</f>
        <v>EN LINEA</v>
      </c>
      <c r="J139" t="str" cm="1">
        <f t="array" ref="J139">+_xlfn.XLOOKUP(F139,Hoja5!$C$2:$C$420,Hoja5!$H$2:H$420)</f>
        <v>GPRS</v>
      </c>
      <c r="L139" t="str">
        <f>+_xlfn.XLOOKUP(B139,polaris!$B$2:$B$785,polaris!$C$2:$C$785)</f>
        <v>SANTA BARBARA [26185050;AO 01;FONDO ADAPTACION]</v>
      </c>
      <c r="M139" t="b">
        <f t="shared" si="2"/>
        <v>1</v>
      </c>
    </row>
    <row r="140" spans="1:13" x14ac:dyDescent="0.25">
      <c r="A140" s="9">
        <v>139</v>
      </c>
      <c r="B140" s="9">
        <v>189</v>
      </c>
      <c r="C140" s="10" t="s">
        <v>561</v>
      </c>
      <c r="D140" t="str">
        <f>+_xlfn.XLOOKUP(B140,polaris!$B$2:$B$785,polaris!$D$2:$D$785)</f>
        <v>METEOROLÓGICA</v>
      </c>
      <c r="E140"/>
      <c r="F140" s="26">
        <v>35085070</v>
      </c>
      <c r="G140" s="26" t="str" cm="1">
        <f t="array" ref="G140">+_xlfn.XLOOKUP(C140,Hoja1!$E$2:$E$420,Tabla1[Nombre])</f>
        <v>SANTA MARIA - AUT [35085070]</v>
      </c>
      <c r="H140" t="str">
        <f>+_xlfn.XLOOKUP(F140,Tabla1[Codigo],Tabla1[Nombre])</f>
        <v>SANTA MARIA - AUT [35085070]</v>
      </c>
      <c r="I140" t="str">
        <f>+_xlfn.XLOOKUP(F140,Hoja5!$C$2:$C$420,Hoja5!$G$2:$G$420)</f>
        <v>EN LINEA</v>
      </c>
      <c r="J140" t="str" cm="1">
        <f t="array" ref="J140">+_xlfn.XLOOKUP(F140,Hoja5!$C$2:$C$420,Hoja5!$H$2:H$420)</f>
        <v>GPRS</v>
      </c>
      <c r="L140" t="str">
        <f>+_xlfn.XLOOKUP(B140,polaris!$B$2:$B$785,polaris!$C$2:$C$785)</f>
        <v>SANTA MARIA - AUT [35085070; AO06; MET; GPRS; PURAC]</v>
      </c>
      <c r="M140" t="b">
        <f t="shared" si="2"/>
        <v>1</v>
      </c>
    </row>
    <row r="141" spans="1:13" x14ac:dyDescent="0.25">
      <c r="A141" s="9">
        <v>140</v>
      </c>
      <c r="B141" s="9">
        <v>193</v>
      </c>
      <c r="C141" s="10" t="s">
        <v>562</v>
      </c>
      <c r="D141" t="str">
        <f>+_xlfn.XLOOKUP(B141,polaris!$B$2:$B$785,polaris!$D$2:$D$785)</f>
        <v>METEOROLÓGICA</v>
      </c>
      <c r="E141"/>
      <c r="F141" s="26">
        <v>16035030</v>
      </c>
      <c r="G141" s="26" t="str" cm="1">
        <f t="array" ref="G141">+_xlfn.XLOOKUP(C141,Hoja1!$E$2:$E$420,Tabla1[Nombre])</f>
        <v>SARDINATA [16035030]</v>
      </c>
      <c r="H141" t="str">
        <f>+_xlfn.XLOOKUP(F141,Tabla1[Codigo],Tabla1[Nombre])</f>
        <v>SARDINATA [16035030]</v>
      </c>
      <c r="I141" t="str">
        <f>+_xlfn.XLOOKUP(F141,Hoja5!$C$2:$C$420,Hoja5!$G$2:$G$420)</f>
        <v>OFFLINE MANUAL</v>
      </c>
      <c r="J141" t="str" cm="1">
        <f t="array" ref="J141">+_xlfn.XLOOKUP(F141,Hoja5!$C$2:$C$420,Hoja5!$H$2:H$420)</f>
        <v>ORDEN PÚBLICO</v>
      </c>
      <c r="L141" t="str">
        <f>+_xlfn.XLOOKUP(B141,polaris!$B$2:$B$785,polaris!$C$2:$C$785)</f>
        <v>SARDINATA [16035030; AO 08; MET; GPRS; FONDO ADAPTACION]</v>
      </c>
      <c r="M141" t="b">
        <f t="shared" si="2"/>
        <v>1</v>
      </c>
    </row>
    <row r="142" spans="1:13" x14ac:dyDescent="0.25">
      <c r="A142" s="9">
        <v>141</v>
      </c>
      <c r="B142" s="9">
        <v>194</v>
      </c>
      <c r="C142" s="10" t="s">
        <v>563</v>
      </c>
      <c r="D142" t="str">
        <f>+_xlfn.XLOOKUP(B142,polaris!$B$2:$B$785,polaris!$D$2:$D$785)</f>
        <v>METEOROLÓGICA</v>
      </c>
      <c r="E142"/>
      <c r="F142" s="26">
        <v>28025120</v>
      </c>
      <c r="G142" s="26" t="str" cm="1">
        <f t="array" ref="G142">+_xlfn.XLOOKUP(C142,Hoja1!$E$2:$E$420,Tabla1[Nombre])</f>
        <v>SERRANIA DEL PERIJA  - AUT [28025120]</v>
      </c>
      <c r="H142" t="str">
        <f>+_xlfn.XLOOKUP(F142,Tabla1[Codigo],Tabla1[Nombre])</f>
        <v>SERRANIA DEL PERIJA  - AUT [28025120]</v>
      </c>
      <c r="I142" t="str">
        <f>+_xlfn.XLOOKUP(F142,Hoja5!$C$2:$C$420,Hoja5!$G$2:$G$420)</f>
        <v>DESCONECTADO</v>
      </c>
      <c r="J142" t="str" cm="1">
        <f t="array" ref="J142">+_xlfn.XLOOKUP(F142,Hoja5!$C$2:$C$420,Hoja5!$H$2:H$420)</f>
        <v>INMARSAT</v>
      </c>
      <c r="L142" t="str">
        <f>+_xlfn.XLOOKUP(B142,polaris!$B$2:$B$785,polaris!$C$2:$C$785)</f>
        <v>SERRANIA DEL PERIJA  - AUT [28025120; CES; MET; INMARSAT; AO05; FONDO ADAPTACION]</v>
      </c>
      <c r="M142" t="b">
        <f t="shared" si="2"/>
        <v>1</v>
      </c>
    </row>
    <row r="143" spans="1:13" x14ac:dyDescent="0.25">
      <c r="A143" s="9">
        <v>142</v>
      </c>
      <c r="B143" s="9">
        <v>195</v>
      </c>
      <c r="C143" s="10" t="s">
        <v>564</v>
      </c>
      <c r="D143" t="str">
        <f>+_xlfn.XLOOKUP(B143,polaris!$B$2:$B$785,polaris!$D$2:$D$785)</f>
        <v>METEOROLÓGICA</v>
      </c>
      <c r="E143"/>
      <c r="F143" s="26">
        <v>52025090</v>
      </c>
      <c r="G143" s="26" t="str" cm="1">
        <f t="array" ref="G143">+_xlfn.XLOOKUP(C143,Hoja1!$E$2:$E$420,Tabla1[Nombre])</f>
        <v>LA SIERRA - AUT [52025090]</v>
      </c>
      <c r="H143" t="str">
        <f>+_xlfn.XLOOKUP(F143,Tabla1[Codigo],Tabla1[Nombre])</f>
        <v>LA SIERRA - AUT [52025090]</v>
      </c>
      <c r="I143" t="str">
        <f>+_xlfn.XLOOKUP(F143,Hoja5!$C$2:$C$420,Hoja5!$G$2:$G$420)</f>
        <v>DESCONECTADO</v>
      </c>
      <c r="J143" t="str" cm="1">
        <f t="array" ref="J143">+_xlfn.XLOOKUP(F143,Hoja5!$C$2:$C$420,Hoja5!$H$2:H$420)</f>
        <v>GPRS</v>
      </c>
      <c r="L143" t="str">
        <f>+_xlfn.XLOOKUP(B143,polaris!$B$2:$B$785,polaris!$C$2:$C$785)</f>
        <v>LA SIERRA - AUT [52025090; AO 07; MET; GPRS; FONDO ADAPTACION]</v>
      </c>
      <c r="M143" t="b">
        <f t="shared" si="2"/>
        <v>1</v>
      </c>
    </row>
    <row r="144" spans="1:13" x14ac:dyDescent="0.25">
      <c r="A144" s="9">
        <v>143</v>
      </c>
      <c r="B144" s="9">
        <v>196</v>
      </c>
      <c r="C144" s="10" t="s">
        <v>565</v>
      </c>
      <c r="D144" t="str">
        <f>+_xlfn.XLOOKUP(B144,polaris!$B$2:$B$785,polaris!$D$2:$D$785)</f>
        <v>HIDROLÓGICA</v>
      </c>
      <c r="E144"/>
      <c r="F144" s="26">
        <v>26157200</v>
      </c>
      <c r="G144" s="26" t="str" cm="1">
        <f t="array" ref="G144">+_xlfn.XLOOKUP(C144,Hoja1!$E$2:$E$420,Tabla1[Nombre])</f>
        <v>SIETECUERALES - AUT [26157200]</v>
      </c>
      <c r="H144" t="str">
        <f>+_xlfn.XLOOKUP(F144,Tabla1[Codigo],Tabla1[Nombre])</f>
        <v>SIETECUERALES - AUT [26157200]</v>
      </c>
      <c r="I144" t="str">
        <f>+_xlfn.XLOOKUP(F144,Hoja5!$C$2:$C$420,Hoja5!$G$2:$G$420)</f>
        <v>DESCONECTADO</v>
      </c>
      <c r="J144" t="str" cm="1">
        <f t="array" ref="J144">+_xlfn.XLOOKUP(F144,Hoja5!$C$2:$C$420,Hoja5!$H$2:H$420)</f>
        <v>INMARSAT</v>
      </c>
      <c r="L144" t="str">
        <f>+_xlfn.XLOOKUP(B144,polaris!$B$2:$B$785,polaris!$C$2:$C$785)</f>
        <v>SIETECUERALES - AUT [26157200; CAL; HID; INMARSAT; AO09; FONDO ADAPTACION]</v>
      </c>
      <c r="M144" t="b">
        <f t="shared" si="2"/>
        <v>1</v>
      </c>
    </row>
    <row r="145" spans="1:13" x14ac:dyDescent="0.25">
      <c r="A145" s="9">
        <v>144</v>
      </c>
      <c r="B145" s="9">
        <v>197</v>
      </c>
      <c r="C145" s="10" t="s">
        <v>566</v>
      </c>
      <c r="D145" t="str">
        <f>+_xlfn.XLOOKUP(B145,polaris!$B$2:$B$785,polaris!$D$2:$D$785)</f>
        <v>METEOROLÓGICA</v>
      </c>
      <c r="E145"/>
      <c r="F145" s="26">
        <v>26085160</v>
      </c>
      <c r="G145" s="26" t="str" cm="1">
        <f t="array" ref="G145">+_xlfn.XLOOKUP(C145,Hoja1!$E$2:$E$420,Tabla1[Nombre])</f>
        <v>SILOE - AUT [26085160]</v>
      </c>
      <c r="H145" t="str">
        <f>+_xlfn.XLOOKUP(F145,Tabla1[Codigo],Tabla1[Nombre])</f>
        <v>SILOE - AUT [26085160]</v>
      </c>
      <c r="I145" t="str">
        <f>+_xlfn.XLOOKUP(F145,Hoja5!$C$2:$C$420,Hoja5!$G$2:$G$420)</f>
        <v>EN LINEA</v>
      </c>
      <c r="J145" t="str" cm="1">
        <f t="array" ref="J145">+_xlfn.XLOOKUP(F145,Hoja5!$C$2:$C$420,Hoja5!$H$2:H$420)</f>
        <v>GPRS</v>
      </c>
      <c r="L145" t="str">
        <f>+_xlfn.XLOOKUP(B145,polaris!$B$2:$B$785,polaris!$C$2:$C$785)</f>
        <v>SILOE - AUT [26085160; AO 09; MET; GPRS; FONDO ADAPTACION]</v>
      </c>
      <c r="M145" t="b">
        <f t="shared" si="2"/>
        <v>1</v>
      </c>
    </row>
    <row r="146" spans="1:13" x14ac:dyDescent="0.25">
      <c r="A146" s="9">
        <v>145</v>
      </c>
      <c r="B146" s="9">
        <v>198</v>
      </c>
      <c r="C146" s="10" t="s">
        <v>567</v>
      </c>
      <c r="D146" t="str">
        <f>+_xlfn.XLOOKUP(B146,polaris!$B$2:$B$785,polaris!$D$2:$D$785)</f>
        <v>METEOROLÓGICA</v>
      </c>
      <c r="E146"/>
      <c r="F146" s="26">
        <v>29035000</v>
      </c>
      <c r="G146" s="26" t="str" cm="1">
        <f t="array" ref="G146">+_xlfn.XLOOKUP(C146,Hoja1!$E$2:$E$420,Tabla1[Nombre])</f>
        <v>SINCERIN  - AUT [29035000]</v>
      </c>
      <c r="H146" t="str">
        <f>+_xlfn.XLOOKUP(F146,Tabla1[Codigo],Tabla1[Nombre])</f>
        <v>SINCERIN  - AUT [29035000]</v>
      </c>
      <c r="I146" t="str">
        <f>+_xlfn.XLOOKUP(F146,Hoja5!$C$2:$C$420,Hoja5!$G$2:$G$420)</f>
        <v>EN LINEA</v>
      </c>
      <c r="J146" t="str" cm="1">
        <f t="array" ref="J146">+_xlfn.XLOOKUP(F146,Hoja5!$C$2:$C$420,Hoja5!$H$2:H$420)</f>
        <v>GPRS</v>
      </c>
      <c r="L146" t="str">
        <f>+_xlfn.XLOOKUP(B146,polaris!$B$2:$B$785,polaris!$C$2:$C$785)</f>
        <v>SINCERIN  - AUT [29035000; AO 02; MET; GPRS; FONDO ADAPTACION]</v>
      </c>
      <c r="M146" t="b">
        <f t="shared" si="2"/>
        <v>1</v>
      </c>
    </row>
    <row r="147" spans="1:13" x14ac:dyDescent="0.25">
      <c r="A147" s="9">
        <v>146</v>
      </c>
      <c r="B147" s="9">
        <v>199</v>
      </c>
      <c r="C147" s="10" t="s">
        <v>568</v>
      </c>
      <c r="D147" t="str">
        <f>+_xlfn.XLOOKUP(B147,polaris!$B$2:$B$785,polaris!$D$2:$D$785)</f>
        <v>HIDROLÓGICA</v>
      </c>
      <c r="E147"/>
      <c r="F147" s="26">
        <v>21257090</v>
      </c>
      <c r="G147" s="26" t="str" cm="1">
        <f t="array" ref="G147">+_xlfn.XLOOKUP(C147,Hoja1!$E$2:$E$420,Tabla1[Nombre])</f>
        <v>LA ESMERALDA - AUT [21257090]</v>
      </c>
      <c r="H147" t="str">
        <f>+_xlfn.XLOOKUP(F147,Tabla1[Codigo],Tabla1[Nombre])</f>
        <v>LA ESMERALDA - AUT [21257090]</v>
      </c>
      <c r="I147" t="str">
        <f>+_xlfn.XLOOKUP(F147,Hoja5!$C$2:$C$420,Hoja5!$G$2:$G$420)</f>
        <v>EN LINEA</v>
      </c>
      <c r="J147" t="str" cm="1">
        <f t="array" ref="J147">+_xlfn.XLOOKUP(F147,Hoja5!$C$2:$C$420,Hoja5!$H$2:H$420)</f>
        <v>GOES</v>
      </c>
      <c r="L147" t="str">
        <f>+_xlfn.XLOOKUP(B147,polaris!$B$2:$B$785,polaris!$C$2:$C$785)</f>
        <v>LA ESMERALDA - AUT [21257090; TOL; HID; AO10; FONDO ADAPTACION]</v>
      </c>
      <c r="M147" t="b">
        <f t="shared" si="2"/>
        <v>1</v>
      </c>
    </row>
    <row r="148" spans="1:13" x14ac:dyDescent="0.25">
      <c r="A148" s="9">
        <v>147</v>
      </c>
      <c r="B148" s="9">
        <v>202</v>
      </c>
      <c r="C148" s="10" t="s">
        <v>569</v>
      </c>
      <c r="D148" t="str">
        <f>+_xlfn.XLOOKUP(B148,polaris!$B$2:$B$785,polaris!$D$2:$D$785)</f>
        <v>METEOROLÓGICA</v>
      </c>
      <c r="E148"/>
      <c r="F148" s="26">
        <v>26180180</v>
      </c>
      <c r="G148" s="26" t="str" cm="1">
        <f t="array" ref="G148">+_xlfn.XLOOKUP(C148,Hoja1!$E$2:$E$420,Tabla1[Nombre])</f>
        <v>SONSON [26180180]</v>
      </c>
      <c r="H148" t="str">
        <f>+_xlfn.XLOOKUP(F148,Tabla1[Codigo],Tabla1[Nombre])</f>
        <v>SONSON [26180180]</v>
      </c>
      <c r="I148" t="str">
        <f>+_xlfn.XLOOKUP(F148,Hoja5!$C$2:$C$420,Hoja5!$G$2:$G$420)</f>
        <v>EN LINEA</v>
      </c>
      <c r="J148" t="str" cm="1">
        <f t="array" ref="J148">+_xlfn.XLOOKUP(F148,Hoja5!$C$2:$C$420,Hoja5!$H$2:H$420)</f>
        <v>GPRS</v>
      </c>
      <c r="L148" t="str">
        <f>+_xlfn.XLOOKUP(B148,polaris!$B$2:$B$785,polaris!$C$2:$C$785)</f>
        <v>SONSON [26180180;AO 01;FONDO ADAPTACION]</v>
      </c>
      <c r="M148" t="b">
        <f t="shared" si="2"/>
        <v>1</v>
      </c>
    </row>
    <row r="149" spans="1:13" x14ac:dyDescent="0.25">
      <c r="A149" s="9">
        <v>148</v>
      </c>
      <c r="B149" s="9">
        <v>203</v>
      </c>
      <c r="C149" s="10" t="s">
        <v>570</v>
      </c>
      <c r="D149" t="str">
        <f>+_xlfn.XLOOKUP(B149,polaris!$B$2:$B$785,polaris!$D$2:$D$785)</f>
        <v>METEOROLÓGICA</v>
      </c>
      <c r="E149"/>
      <c r="F149" s="26">
        <v>21205970</v>
      </c>
      <c r="G149" s="26" t="str" cm="1">
        <f t="array" ref="G149">+_xlfn.XLOOKUP(C149,Hoja1!$E$2:$E$420,Tabla1[Nombre])</f>
        <v>HACIENDA SANTA ANA [21205970]</v>
      </c>
      <c r="H149" t="str">
        <f>+_xlfn.XLOOKUP(F149,Tabla1[Codigo],Tabla1[Nombre])</f>
        <v>HACIENDA SANTA ANA [21205970]</v>
      </c>
      <c r="I149" t="str">
        <f>+_xlfn.XLOOKUP(F149,Hoja5!$C$2:$C$420,Hoja5!$G$2:$G$420)</f>
        <v>EN LINEA</v>
      </c>
      <c r="J149" t="str" cm="1">
        <f t="array" ref="J149">+_xlfn.XLOOKUP(F149,Hoja5!$C$2:$C$420,Hoja5!$H$2:H$420)</f>
        <v>GPRS</v>
      </c>
      <c r="L149" t="str">
        <f>+_xlfn.XLOOKUP(B149,polaris!$B$2:$B$785,polaris!$C$2:$C$785)</f>
        <v>HACIENDA SANTA ANA [21205970; AO11]</v>
      </c>
      <c r="M149" t="b">
        <f t="shared" si="2"/>
        <v>1</v>
      </c>
    </row>
    <row r="150" spans="1:13" x14ac:dyDescent="0.25">
      <c r="A150" s="9">
        <v>149</v>
      </c>
      <c r="B150" s="9">
        <v>204</v>
      </c>
      <c r="C150" s="10" t="s">
        <v>571</v>
      </c>
      <c r="D150" t="str">
        <f>+_xlfn.XLOOKUP(B150,polaris!$B$2:$B$785,polaris!$D$2:$D$785)</f>
        <v>METEOROLÓGICA</v>
      </c>
      <c r="E150"/>
      <c r="F150" s="26">
        <v>26145090</v>
      </c>
      <c r="G150" s="26" t="str" cm="1">
        <f t="array" ref="G150">+_xlfn.XLOOKUP(C150,Hoja1!$E$2:$E$420,Tabla1[Nombre])</f>
        <v>SANTA EMILIA - AUT [26145090]</v>
      </c>
      <c r="H150" t="str">
        <f>+_xlfn.XLOOKUP(F150,Tabla1[Codigo],Tabla1[Nombre])</f>
        <v>SANTA EMILIA - AUT [26145090]</v>
      </c>
      <c r="I150" t="str">
        <f>+_xlfn.XLOOKUP(F150,Hoja5!$C$2:$C$420,Hoja5!$G$2:$G$420)</f>
        <v>DESCONECTADO</v>
      </c>
      <c r="J150" t="str" cm="1">
        <f t="array" ref="J150">+_xlfn.XLOOKUP(F150,Hoja5!$C$2:$C$420,Hoja5!$H$2:H$420)</f>
        <v>INMARSAT</v>
      </c>
      <c r="L150" t="str">
        <f>+_xlfn.XLOOKUP(B150,polaris!$B$2:$B$785,polaris!$C$2:$C$785)</f>
        <v>SANTA EMILIA - AUT [26145090; RIS; MET; INMARSAT; AO09; FONDO ADAPTACION]</v>
      </c>
      <c r="M150" t="b">
        <f t="shared" si="2"/>
        <v>1</v>
      </c>
    </row>
    <row r="151" spans="1:13" x14ac:dyDescent="0.25">
      <c r="A151" s="9">
        <v>150</v>
      </c>
      <c r="B151" s="9">
        <v>207</v>
      </c>
      <c r="C151" s="10" t="s">
        <v>572</v>
      </c>
      <c r="D151" t="str">
        <f>+_xlfn.XLOOKUP(B151,polaris!$B$2:$B$785,polaris!$D$2:$D$785)</f>
        <v>METEOROLÓGICA</v>
      </c>
      <c r="E151"/>
      <c r="F151" s="26">
        <v>21206980</v>
      </c>
      <c r="G151" s="26" t="str" cm="1">
        <f t="array" ref="G151">+_xlfn.XLOOKUP(C151,Hoja1!$E$2:$E$420,Tabla1[Nombre])</f>
        <v>SANTA CRUZ DE SIECHA  - AUT [21206980]</v>
      </c>
      <c r="H151" t="str">
        <f>+_xlfn.XLOOKUP(F151,Tabla1[Codigo],Tabla1[Nombre])</f>
        <v>SANTA CRUZ DE SIECHA  - AUT [21206980]</v>
      </c>
      <c r="I151" t="str">
        <f>+_xlfn.XLOOKUP(F151,Hoja5!$C$2:$C$420,Hoja5!$G$2:$G$420)</f>
        <v>EN LINEA</v>
      </c>
      <c r="J151" t="str" cm="1">
        <f t="array" ref="J151">+_xlfn.XLOOKUP(F151,Hoja5!$C$2:$C$420,Hoja5!$H$2:H$420)</f>
        <v>GPRS</v>
      </c>
      <c r="L151" t="str">
        <f>+_xlfn.XLOOKUP(B151,polaris!$B$2:$B$785,polaris!$C$2:$C$785)</f>
        <v>SANTA CRUZ DE SIECHA [21206980; AO11; FONDO ADAPTACION]</v>
      </c>
      <c r="M151" t="b">
        <f t="shared" si="2"/>
        <v>1</v>
      </c>
    </row>
    <row r="152" spans="1:13" x14ac:dyDescent="0.25">
      <c r="A152" s="9">
        <v>151</v>
      </c>
      <c r="B152" s="9">
        <v>208</v>
      </c>
      <c r="C152" s="10" t="s">
        <v>573</v>
      </c>
      <c r="D152" t="str">
        <f>+_xlfn.XLOOKUP(B152,polaris!$B$2:$B$785,polaris!$D$2:$D$785)</f>
        <v>METEOROLÓGICA</v>
      </c>
      <c r="E152"/>
      <c r="F152" s="26">
        <v>36015020</v>
      </c>
      <c r="G152" s="26" t="str" cm="1">
        <f t="array" ref="G152">+_xlfn.XLOOKUP(C152,Hoja1!$E$2:$E$420,Tabla1[Nombre])</f>
        <v>EL DIAMANTE - AUT [36015020]</v>
      </c>
      <c r="H152" t="str">
        <f>+_xlfn.XLOOKUP(F152,Tabla1[Codigo],Tabla1[Nombre])</f>
        <v>EL DIAMANTE - AUT [36015020]</v>
      </c>
      <c r="I152" t="str">
        <f>+_xlfn.XLOOKUP(F152,Hoja5!$C$2:$C$420,Hoja5!$G$2:$G$420)</f>
        <v>EN LINEA</v>
      </c>
      <c r="J152" t="str" cm="1">
        <f t="array" ref="J152">+_xlfn.XLOOKUP(F152,Hoja5!$C$2:$C$420,Hoja5!$H$2:H$420)</f>
        <v>GPRS</v>
      </c>
      <c r="L152" t="str">
        <f>+_xlfn.XLOOKUP(B152,polaris!$B$2:$B$785,polaris!$C$2:$C$785)</f>
        <v>EL DIAMANTE - AUT [36015020; CAS; MET; INMARSAT; AO06; FONDO ADAPTACION]</v>
      </c>
      <c r="M152" t="b">
        <f t="shared" si="2"/>
        <v>1</v>
      </c>
    </row>
    <row r="153" spans="1:13" x14ac:dyDescent="0.25">
      <c r="A153" s="9">
        <v>152</v>
      </c>
      <c r="B153" s="9">
        <v>209</v>
      </c>
      <c r="C153" s="10" t="s">
        <v>574</v>
      </c>
      <c r="D153" t="str">
        <f>+_xlfn.XLOOKUP(B153,polaris!$B$2:$B$785,polaris!$D$2:$D$785)</f>
        <v>HIDROLÓGICA</v>
      </c>
      <c r="E153"/>
      <c r="F153" s="26">
        <v>21237010</v>
      </c>
      <c r="G153" s="26" t="str" cm="1">
        <f t="array" ref="G153">+_xlfn.XLOOKUP(C153,Hoja1!$E$2:$E$420,Tabla1[Nombre])</f>
        <v>NARINO - AUT [21237010]</v>
      </c>
      <c r="H153" t="str">
        <f>+_xlfn.XLOOKUP(F153,Tabla1[Codigo],Tabla1[Nombre])</f>
        <v>NARINO - AUT [21237010]</v>
      </c>
      <c r="I153" t="str">
        <f>+_xlfn.XLOOKUP(F153,Hoja5!$C$2:$C$420,Hoja5!$G$2:$G$420)</f>
        <v>EN LINEA</v>
      </c>
      <c r="J153" t="str" cm="1">
        <f t="array" ref="J153">+_xlfn.XLOOKUP(F153,Hoja5!$C$2:$C$420,Hoja5!$H$2:H$420)</f>
        <v>GPRS</v>
      </c>
      <c r="L153" t="str">
        <f>+_xlfn.XLOOKUP(B153,polaris!$B$2:$B$785,polaris!$C$2:$C$785)</f>
        <v>NARINO - AUT [21237010; AO 10; HID; GPRS;]</v>
      </c>
      <c r="M153" t="b">
        <f t="shared" si="2"/>
        <v>1</v>
      </c>
    </row>
    <row r="154" spans="1:13" x14ac:dyDescent="0.25">
      <c r="A154" s="9">
        <v>153</v>
      </c>
      <c r="B154" s="9">
        <v>210</v>
      </c>
      <c r="C154" s="10" t="s">
        <v>575</v>
      </c>
      <c r="D154" t="str">
        <f>+_xlfn.XLOOKUP(B154,polaris!$B$2:$B$785,polaris!$D$2:$D$785)</f>
        <v>METEOROLÓGICA</v>
      </c>
      <c r="E154"/>
      <c r="F154" s="26">
        <v>26015010</v>
      </c>
      <c r="G154" s="26" t="str" cm="1">
        <f t="array" ref="G154">+_xlfn.XLOOKUP(C154,Hoja1!$E$2:$E$420,Tabla1[Nombre])</f>
        <v>EL TABLAZO - AUT [26015010]</v>
      </c>
      <c r="H154" t="str">
        <f>+_xlfn.XLOOKUP(F154,Tabla1[Codigo],Tabla1[Nombre])</f>
        <v>EL TABLAZO - AUT [26015010]</v>
      </c>
      <c r="I154" t="str">
        <f>+_xlfn.XLOOKUP(F154,Hoja5!$C$2:$C$420,Hoja5!$G$2:$G$420)</f>
        <v>DESCONECTADO</v>
      </c>
      <c r="J154" t="str" cm="1">
        <f t="array" ref="J154">+_xlfn.XLOOKUP(F154,Hoja5!$C$2:$C$420,Hoja5!$H$2:H$420)</f>
        <v>INMARSAT</v>
      </c>
      <c r="L154" t="str">
        <f>+_xlfn.XLOOKUP(B154,polaris!$B$2:$B$785,polaris!$C$2:$C$785)</f>
        <v>EL TABLAZO - AUT [26015010; AO 09; FONDO ADAPTACION]</v>
      </c>
      <c r="M154" t="b">
        <f t="shared" si="2"/>
        <v>1</v>
      </c>
    </row>
    <row r="155" spans="1:13" x14ac:dyDescent="0.25">
      <c r="A155" s="9">
        <v>154</v>
      </c>
      <c r="B155" s="9">
        <v>211</v>
      </c>
      <c r="C155" s="10" t="s">
        <v>576</v>
      </c>
      <c r="D155" t="str">
        <f>+_xlfn.XLOOKUP(B155,polaris!$B$2:$B$785,polaris!$D$2:$D$785)</f>
        <v>HIDROLÓGICA</v>
      </c>
      <c r="E155"/>
      <c r="F155" s="26">
        <v>54017040</v>
      </c>
      <c r="G155" s="26" t="str" cm="1">
        <f t="array" ref="G155">+_xlfn.XLOOKUP(C155,Hoja1!$E$2:$E$420,Tabla1[Nombre])</f>
        <v>TADO - AUT [54017040]</v>
      </c>
      <c r="H155" t="str">
        <f>+_xlfn.XLOOKUP(F155,Tabla1[Codigo],Tabla1[Nombre])</f>
        <v>TADO - AUT [54017040]</v>
      </c>
      <c r="I155" t="str">
        <f>+_xlfn.XLOOKUP(F155,Hoja5!$C$2:$C$420,Hoja5!$G$2:$G$420)</f>
        <v>EN LINEA</v>
      </c>
      <c r="J155" t="str" cm="1">
        <f t="array" ref="J155">+_xlfn.XLOOKUP(F155,Hoja5!$C$2:$C$420,Hoja5!$H$2:H$420)</f>
        <v>GPRS</v>
      </c>
      <c r="L155" t="str">
        <f>+_xlfn.XLOOKUP(B155,polaris!$B$2:$B$785,polaris!$C$2:$C$785)</f>
        <v>TADO - AUT [54017040; CHO; HID; GPRS; AO09; FONDO ADAPTACION]</v>
      </c>
      <c r="M155" t="b">
        <f t="shared" si="2"/>
        <v>1</v>
      </c>
    </row>
    <row r="156" spans="1:13" x14ac:dyDescent="0.25">
      <c r="A156" s="9">
        <v>155</v>
      </c>
      <c r="B156" s="9">
        <v>214</v>
      </c>
      <c r="C156" s="10" t="s">
        <v>577</v>
      </c>
      <c r="D156" t="str">
        <f>+_xlfn.XLOOKUP(B156,polaris!$B$2:$B$785,polaris!$D$2:$D$785)</f>
        <v>METEOROLÓGICA</v>
      </c>
      <c r="E156"/>
      <c r="F156" s="26">
        <v>26155170</v>
      </c>
      <c r="G156" s="26" t="str" cm="1">
        <f t="array" ref="G156">+_xlfn.XLOOKUP(C156,Hoja1!$E$2:$E$420,Tabla1[Nombre])</f>
        <v>TESORITO FINCA  - AUT [26155170]</v>
      </c>
      <c r="H156" t="str">
        <f>+_xlfn.XLOOKUP(F156,Tabla1[Codigo],Tabla1[Nombre])</f>
        <v>TESORITO FINCA  - AUT [26155170]</v>
      </c>
      <c r="I156" t="str">
        <f>+_xlfn.XLOOKUP(F156,Hoja5!$C$2:$C$420,Hoja5!$G$2:$G$420)</f>
        <v>EN LINEA</v>
      </c>
      <c r="J156" t="str" cm="1">
        <f t="array" ref="J156">+_xlfn.XLOOKUP(F156,Hoja5!$C$2:$C$420,Hoja5!$H$2:H$420)</f>
        <v>GPRS</v>
      </c>
      <c r="L156" t="str">
        <f>+_xlfn.XLOOKUP(B156,polaris!$B$2:$B$785,polaris!$C$2:$C$785)</f>
        <v>TESORITO FINCA  - AUT [26155170; AO 09; MET; GPRS; FONDO ADAPTACION]</v>
      </c>
      <c r="M156" t="b">
        <f t="shared" si="2"/>
        <v>1</v>
      </c>
    </row>
    <row r="157" spans="1:13" x14ac:dyDescent="0.25">
      <c r="A157" s="9">
        <v>156</v>
      </c>
      <c r="B157" s="9">
        <v>215</v>
      </c>
      <c r="C157" s="10" t="s">
        <v>578</v>
      </c>
      <c r="D157" t="str">
        <f>+_xlfn.XLOOKUP(B157,polaris!$B$2:$B$785,polaris!$D$2:$D$785)</f>
        <v>METEOROLÓGICA</v>
      </c>
      <c r="E157"/>
      <c r="F157" s="26">
        <v>25025280</v>
      </c>
      <c r="G157" s="26" t="str" cm="1">
        <f t="array" ref="G157">+_xlfn.XLOOKUP(C157,Hoja1!$E$2:$E$420,Tabla1[Nombre])</f>
        <v>EL TESORO IDEAM  - AUT [25025280]</v>
      </c>
      <c r="H157" t="str">
        <f>+_xlfn.XLOOKUP(F157,Tabla1[Codigo],Tabla1[Nombre])</f>
        <v>EL TESORO IDEAM  - AUT [25025280]</v>
      </c>
      <c r="I157" t="str">
        <f>+_xlfn.XLOOKUP(F157,Hoja5!$C$2:$C$420,Hoja5!$G$2:$G$420)</f>
        <v>EN LINEA</v>
      </c>
      <c r="J157" t="str" cm="1">
        <f t="array" ref="J157">+_xlfn.XLOOKUP(F157,Hoja5!$C$2:$C$420,Hoja5!$H$2:H$420)</f>
        <v>GPRS</v>
      </c>
      <c r="L157" t="str">
        <f>+_xlfn.XLOOKUP(B157,polaris!$B$2:$B$785,polaris!$C$2:$C$785)</f>
        <v>EL TESORO IDEAM  - AUT [25025280; AO 02; FONDO ADAPTACION]</v>
      </c>
      <c r="M157" t="b">
        <f t="shared" si="2"/>
        <v>1</v>
      </c>
    </row>
    <row r="158" spans="1:13" x14ac:dyDescent="0.25">
      <c r="A158" s="9">
        <v>157</v>
      </c>
      <c r="B158" s="9">
        <v>217</v>
      </c>
      <c r="C158" s="10" t="s">
        <v>579</v>
      </c>
      <c r="D158" t="str">
        <f>+_xlfn.XLOOKUP(B158,polaris!$B$2:$B$785,polaris!$D$2:$D$785)</f>
        <v>METEOROLÓGICA</v>
      </c>
      <c r="E158"/>
      <c r="F158" s="26">
        <v>16035010</v>
      </c>
      <c r="G158" s="26" t="str" cm="1">
        <f t="array" ref="G158">+_xlfn.XLOOKUP(C158,Hoja1!$E$2:$E$420,Tabla1[Nombre])</f>
        <v>TIBU [16035010]</v>
      </c>
      <c r="H158" t="str">
        <f>+_xlfn.XLOOKUP(F158,Tabla1[Codigo],Tabla1[Nombre])</f>
        <v>TIBU [16035010]</v>
      </c>
      <c r="I158" t="str">
        <f>+_xlfn.XLOOKUP(F158,Hoja5!$C$2:$C$420,Hoja5!$G$2:$G$420)</f>
        <v>OFFLINE MANUAL</v>
      </c>
      <c r="J158" t="str" cm="1">
        <f t="array" ref="J158">+_xlfn.XLOOKUP(F158,Hoja5!$C$2:$C$420,Hoja5!$H$2:H$420)</f>
        <v>ORDEN PÚBLICO</v>
      </c>
      <c r="L158" t="str">
        <f>+_xlfn.XLOOKUP(B158,polaris!$B$2:$B$785,polaris!$C$2:$C$785)</f>
        <v>TIBU [16035010; NDS; MET; ROC; PM; AO08; H6; OCARVAJAL; 55-5; IPWD; R24; FNCM; ; ]</v>
      </c>
      <c r="M158" t="b">
        <f t="shared" si="2"/>
        <v>1</v>
      </c>
    </row>
    <row r="159" spans="1:13" x14ac:dyDescent="0.25">
      <c r="A159" s="9">
        <v>158</v>
      </c>
      <c r="B159" s="9">
        <v>219</v>
      </c>
      <c r="C159" s="10" t="s">
        <v>580</v>
      </c>
      <c r="D159" t="str">
        <f>+_xlfn.XLOOKUP(B159,polaris!$B$2:$B$785,polaris!$D$2:$D$785)</f>
        <v>METEOROLÓGICA</v>
      </c>
      <c r="E159"/>
      <c r="F159" s="26">
        <v>12015060</v>
      </c>
      <c r="G159" s="26" t="str" cm="1">
        <f t="array" ref="G159">+_xlfn.XLOOKUP(C159,Hoja1!$E$2:$E$420,Tabla1[Nombre])</f>
        <v>TULENAPA  - AUT [12015060]</v>
      </c>
      <c r="H159" t="str">
        <f>+_xlfn.XLOOKUP(F159,Tabla1[Codigo],Tabla1[Nombre])</f>
        <v>TULENAPA  - AUT [12015060]</v>
      </c>
      <c r="I159" t="str">
        <f>+_xlfn.XLOOKUP(F159,Hoja5!$C$2:$C$420,Hoja5!$G$2:$G$420)</f>
        <v>EN LINEA</v>
      </c>
      <c r="J159" t="str" cm="1">
        <f t="array" ref="J159">+_xlfn.XLOOKUP(F159,Hoja5!$C$2:$C$420,Hoja5!$H$2:H$420)</f>
        <v>GPRS</v>
      </c>
      <c r="L159" t="str">
        <f>+_xlfn.XLOOKUP(B159,polaris!$B$2:$B$785,polaris!$C$2:$C$785)</f>
        <v>TULENAPA [12015060;AO 01;FONDO ADAPTACION]</v>
      </c>
      <c r="M159" t="b">
        <f t="shared" si="2"/>
        <v>1</v>
      </c>
    </row>
    <row r="160" spans="1:13" x14ac:dyDescent="0.25">
      <c r="A160" s="9">
        <v>159</v>
      </c>
      <c r="B160" s="9">
        <v>220</v>
      </c>
      <c r="C160" s="10" t="s">
        <v>581</v>
      </c>
      <c r="D160" t="str">
        <f>+_xlfn.XLOOKUP(B160,polaris!$B$2:$B$785,polaris!$D$2:$D$785)</f>
        <v>METEOROLÓGICA</v>
      </c>
      <c r="E160"/>
      <c r="F160" s="26">
        <v>24035430</v>
      </c>
      <c r="G160" s="26" t="str" cm="1">
        <f t="array" ref="G160">+_xlfn.XLOOKUP(C160,Hoja1!$E$2:$E$420,Tabla1[Nombre])</f>
        <v>TUNGUAVITA - AUT [24035430]</v>
      </c>
      <c r="H160" t="str">
        <f>+_xlfn.XLOOKUP(F160,Tabla1[Codigo],Tabla1[Nombre])</f>
        <v>TUNGUAVITA - AUT [24035430]</v>
      </c>
      <c r="I160" t="str">
        <f>+_xlfn.XLOOKUP(F160,Hoja5!$C$2:$C$420,Hoja5!$G$2:$G$420)</f>
        <v>EN LINEA</v>
      </c>
      <c r="J160" t="str" cm="1">
        <f t="array" ref="J160">+_xlfn.XLOOKUP(F160,Hoja5!$C$2:$C$420,Hoja5!$H$2:H$420)</f>
        <v>GPRS</v>
      </c>
      <c r="L160" t="str">
        <f>+_xlfn.XLOOKUP(B160,polaris!$B$2:$B$785,polaris!$C$2:$C$785)</f>
        <v>TUNGUAVITA - AUT [24035430; AO06; MET; INMARSAT;  FONDO ADAPTACION]</v>
      </c>
      <c r="M160" t="b">
        <f t="shared" si="2"/>
        <v>1</v>
      </c>
    </row>
    <row r="161" spans="1:13" x14ac:dyDescent="0.25">
      <c r="A161" s="9">
        <v>160</v>
      </c>
      <c r="B161" s="9">
        <v>221</v>
      </c>
      <c r="C161" s="10" t="s">
        <v>582</v>
      </c>
      <c r="D161" t="str">
        <f>+_xlfn.XLOOKUP(B161,polaris!$B$2:$B$785,polaris!$D$2:$D$785)</f>
        <v>METEOROLÓGICA</v>
      </c>
      <c r="E161"/>
      <c r="F161" s="26">
        <v>12025040</v>
      </c>
      <c r="G161" s="26" t="str" cm="1">
        <f t="array" ref="G161">+_xlfn.XLOOKUP(C161,Hoja1!$E$2:$E$420,Tabla1[Nombre])</f>
        <v>TURBO - AUT [12025040]</v>
      </c>
      <c r="H161" t="str">
        <f>+_xlfn.XLOOKUP(F161,Tabla1[Codigo],Tabla1[Nombre])</f>
        <v>TURBO - AUT [12025040]</v>
      </c>
      <c r="I161" t="str">
        <f>+_xlfn.XLOOKUP(F161,Hoja5!$C$2:$C$420,Hoja5!$G$2:$G$420)</f>
        <v>EN LINEA</v>
      </c>
      <c r="J161" t="str" cm="1">
        <f t="array" ref="J161">+_xlfn.XLOOKUP(F161,Hoja5!$C$2:$C$420,Hoja5!$H$2:H$420)</f>
        <v>GPRS</v>
      </c>
      <c r="L161" t="str">
        <f>+_xlfn.XLOOKUP(B161,polaris!$B$2:$B$785,polaris!$C$2:$C$785)</f>
        <v>TURBO [12025040;AO 01;FONDO ADAPTACION]</v>
      </c>
      <c r="M161" t="b">
        <f t="shared" si="2"/>
        <v>1</v>
      </c>
    </row>
    <row r="162" spans="1:13" x14ac:dyDescent="0.25">
      <c r="A162" s="9">
        <v>161</v>
      </c>
      <c r="B162" s="9">
        <v>222</v>
      </c>
      <c r="C162" s="10" t="s">
        <v>583</v>
      </c>
      <c r="D162" t="str">
        <f>+_xlfn.XLOOKUP(B162,polaris!$B$2:$B$785,polaris!$D$2:$D$785)</f>
        <v>METEOROLÓGICA</v>
      </c>
      <c r="E162"/>
      <c r="F162" s="26">
        <v>15015120</v>
      </c>
      <c r="G162" s="26" t="str" cm="1">
        <f t="array" ref="G162">+_xlfn.XLOOKUP(C162,Hoja1!$E$2:$E$420,Tabla1[Nombre])</f>
        <v>UNIVERSIDAD TECNOLOGICA  - AUT [15015120]</v>
      </c>
      <c r="H162" t="str">
        <f>+_xlfn.XLOOKUP(F162,Tabla1[Codigo],Tabla1[Nombre])</f>
        <v>UNIVERSIDAD TECNOLOGICA  - AUT [15015120]</v>
      </c>
      <c r="I162" t="str">
        <f>+_xlfn.XLOOKUP(F162,Hoja5!$C$2:$C$420,Hoja5!$G$2:$G$420)</f>
        <v>EN LINEA</v>
      </c>
      <c r="J162" t="str" cm="1">
        <f t="array" ref="J162">+_xlfn.XLOOKUP(F162,Hoja5!$C$2:$C$420,Hoja5!$H$2:H$420)</f>
        <v>GPRS</v>
      </c>
      <c r="L162" t="str">
        <f>+_xlfn.XLOOKUP(B162,polaris!$B$2:$B$785,polaris!$C$2:$C$785)</f>
        <v>UNIVERSIDAD TECNOLOGICA  - AUT [15015120; AO 05; MET; GPRS; FONDO ADAPTACION]</v>
      </c>
      <c r="M162" t="b">
        <f t="shared" si="2"/>
        <v>1</v>
      </c>
    </row>
    <row r="163" spans="1:13" x14ac:dyDescent="0.25">
      <c r="A163" s="9">
        <v>162</v>
      </c>
      <c r="B163" s="9">
        <v>223</v>
      </c>
      <c r="C163" s="10" t="s">
        <v>584</v>
      </c>
      <c r="D163" t="str">
        <f>+_xlfn.XLOOKUP(B163,polaris!$B$2:$B$785,polaris!$D$2:$D$785)</f>
        <v>METEOROLÓGICA</v>
      </c>
      <c r="E163"/>
      <c r="F163" s="26">
        <v>11135030</v>
      </c>
      <c r="G163" s="26" t="str" cm="1">
        <f t="array" ref="G163">+_xlfn.XLOOKUP(C163,Hoja1!$E$2:$E$420,Tabla1[Nombre])</f>
        <v>UNGUIA - AUT [11135030]</v>
      </c>
      <c r="H163" t="str">
        <f>+_xlfn.XLOOKUP(F163,Tabla1[Codigo],Tabla1[Nombre])</f>
        <v>UNGUIA - AUT [11135030]</v>
      </c>
      <c r="I163" t="str">
        <f>+_xlfn.XLOOKUP(F163,Hoja5!$C$2:$C$420,Hoja5!$G$2:$G$420)</f>
        <v>EN LINEA</v>
      </c>
      <c r="J163" t="str" cm="1">
        <f t="array" ref="J163">+_xlfn.XLOOKUP(F163,Hoja5!$C$2:$C$420,Hoja5!$H$2:H$420)</f>
        <v>GPRS</v>
      </c>
      <c r="L163" t="str">
        <f>+_xlfn.XLOOKUP(B163,polaris!$B$2:$B$785,polaris!$C$2:$C$785)</f>
        <v>UNGUIA [11135030;AO 01;FONDO ADAPTACION]</v>
      </c>
      <c r="M163" t="b">
        <f t="shared" si="2"/>
        <v>1</v>
      </c>
    </row>
    <row r="164" spans="1:13" x14ac:dyDescent="0.25">
      <c r="A164" s="9">
        <v>163</v>
      </c>
      <c r="B164" s="9">
        <v>225</v>
      </c>
      <c r="C164" s="10" t="s">
        <v>585</v>
      </c>
      <c r="D164" t="str">
        <f>+_xlfn.XLOOKUP(B164,polaris!$B$2:$B$785,polaris!$D$2:$D$785)</f>
        <v>METEOROLÓGICA</v>
      </c>
      <c r="E164"/>
      <c r="F164" s="26">
        <v>52045080</v>
      </c>
      <c r="G164" s="26" t="str" cm="1">
        <f t="array" ref="G164">+_xlfn.XLOOKUP(C164,Hoja1!$E$2:$E$420,Tabla1[Nombre])</f>
        <v>UNIVERSIDAD DE NARINO  - AUT [52045080]</v>
      </c>
      <c r="H164" t="str">
        <f>+_xlfn.XLOOKUP(F164,Tabla1[Codigo],Tabla1[Nombre])</f>
        <v>UNIVERSIDAD DE NARINO  - AUT [52045080]</v>
      </c>
      <c r="I164" t="str">
        <f>+_xlfn.XLOOKUP(F164,Hoja5!$C$2:$C$420,Hoja5!$G$2:$G$420)</f>
        <v>EN LINEA</v>
      </c>
      <c r="J164" t="str" cm="1">
        <f t="array" ref="J164">+_xlfn.XLOOKUP(F164,Hoja5!$C$2:$C$420,Hoja5!$H$2:H$420)</f>
        <v>GPRS</v>
      </c>
      <c r="L164" t="str">
        <f>+_xlfn.XLOOKUP(B164,polaris!$B$2:$B$785,polaris!$C$2:$C$785)</f>
        <v>UNIVERSIDAD DE NARINO  - AUT [52045080; AO 07 ; FONDO ADAPTACION]</v>
      </c>
      <c r="M164" t="b">
        <f t="shared" si="2"/>
        <v>1</v>
      </c>
    </row>
    <row r="165" spans="1:13" x14ac:dyDescent="0.25">
      <c r="A165" s="9">
        <v>164</v>
      </c>
      <c r="B165" s="9">
        <v>226</v>
      </c>
      <c r="C165" s="10" t="s">
        <v>586</v>
      </c>
      <c r="D165" t="str">
        <f>+_xlfn.XLOOKUP(B165,polaris!$B$2:$B$785,polaris!$D$2:$D$785)</f>
        <v>METEOROLÓGICA</v>
      </c>
      <c r="E165"/>
      <c r="F165" s="26">
        <v>26055120</v>
      </c>
      <c r="G165" s="26" t="str" cm="1">
        <f t="array" ref="G165">+_xlfn.XLOOKUP(C165,Hoja1!$E$2:$E$420,Tabla1[Nombre])</f>
        <v>UNIVERSIDAD DEL VALLE  - AUT [26055120]</v>
      </c>
      <c r="H165" t="str">
        <f>+_xlfn.XLOOKUP(F165,Tabla1[Codigo],Tabla1[Nombre])</f>
        <v>UNIVERSIDAD DEL VALLE  - AUT [26055120]</v>
      </c>
      <c r="I165" t="str">
        <f>+_xlfn.XLOOKUP(F165,Hoja5!$C$2:$C$420,Hoja5!$G$2:$G$420)</f>
        <v>EN LINEA</v>
      </c>
      <c r="J165" t="str" cm="1">
        <f t="array" ref="J165">+_xlfn.XLOOKUP(F165,Hoja5!$C$2:$C$420,Hoja5!$H$2:H$420)</f>
        <v>GPRS</v>
      </c>
      <c r="L165" t="str">
        <f>+_xlfn.XLOOKUP(B165,polaris!$B$2:$B$785,polaris!$C$2:$C$785)</f>
        <v>UNIVERSIDAD DEL VALLE  - AUT [26055120; AO 09; MET; GPRS; FONDO ADAPTACION]</v>
      </c>
      <c r="M165" t="b">
        <f t="shared" si="2"/>
        <v>1</v>
      </c>
    </row>
    <row r="166" spans="1:13" x14ac:dyDescent="0.25">
      <c r="A166" s="9">
        <v>165</v>
      </c>
      <c r="B166" s="9">
        <v>227</v>
      </c>
      <c r="C166" s="10" t="s">
        <v>587</v>
      </c>
      <c r="D166" t="str">
        <f>+_xlfn.XLOOKUP(B166,polaris!$B$2:$B$785,polaris!$D$2:$D$785)</f>
        <v>METEOROLÓGICA</v>
      </c>
      <c r="E166"/>
      <c r="F166" s="26">
        <v>16015110</v>
      </c>
      <c r="G166" s="26" t="str" cm="1">
        <f t="array" ref="G166">+_xlfn.XLOOKUP(C166,Hoja1!$E$2:$E$420,Tabla1[Nombre])</f>
        <v>UNIVERSIDAD FRANCISO DE PAULA SANTANDER - AUT [16015110]</v>
      </c>
      <c r="H166" t="str">
        <f>+_xlfn.XLOOKUP(F166,Tabla1[Codigo],Tabla1[Nombre])</f>
        <v>UNIVERSIDAD FRANCISO DE PAULA SANTANDER - AUT [16015110]</v>
      </c>
      <c r="I166" t="str">
        <f>+_xlfn.XLOOKUP(F166,Hoja5!$C$2:$C$420,Hoja5!$G$2:$G$420)</f>
        <v>EN LINEA</v>
      </c>
      <c r="J166" t="str" cm="1">
        <f t="array" ref="J166">+_xlfn.XLOOKUP(F166,Hoja5!$C$2:$C$420,Hoja5!$H$2:H$420)</f>
        <v>GPRS</v>
      </c>
      <c r="L166" t="str">
        <f>+_xlfn.XLOOKUP(B166,polaris!$B$2:$B$785,polaris!$C$2:$C$785)</f>
        <v>UNIVERSIDAD FRANCISO DE PAULA SANTANDER - AUT [16015110; AO 08; MET; GPRS; FONDO ADAPTACION]</v>
      </c>
      <c r="M166" t="b">
        <f t="shared" si="2"/>
        <v>1</v>
      </c>
    </row>
    <row r="167" spans="1:13" x14ac:dyDescent="0.25">
      <c r="A167" s="9">
        <v>166</v>
      </c>
      <c r="B167" s="9">
        <v>229</v>
      </c>
      <c r="C167" s="10" t="s">
        <v>588</v>
      </c>
      <c r="D167" t="str">
        <f>+_xlfn.XLOOKUP(B167,polaris!$B$2:$B$785,polaris!$D$2:$D$785)</f>
        <v>METEOROLÓGICA</v>
      </c>
      <c r="E167"/>
      <c r="F167" s="26">
        <v>16015120</v>
      </c>
      <c r="G167" s="26" t="str" cm="1">
        <f t="array" ref="G167">+_xlfn.XLOOKUP(C167,Hoja1!$E$2:$E$420,Tabla1[Nombre])</f>
        <v>UNIVERSIDAD DE PAMPLONA  - AUT [16015120]</v>
      </c>
      <c r="H167" t="str">
        <f>+_xlfn.XLOOKUP(F167,Tabla1[Codigo],Tabla1[Nombre])</f>
        <v>UNIVERSIDAD DE PAMPLONA  - AUT [16015120]</v>
      </c>
      <c r="I167" t="str">
        <f>+_xlfn.XLOOKUP(F167,Hoja5!$C$2:$C$420,Hoja5!$G$2:$G$420)</f>
        <v>EN LINEA</v>
      </c>
      <c r="J167" t="str" cm="1">
        <f t="array" ref="J167">+_xlfn.XLOOKUP(F167,Hoja5!$C$2:$C$420,Hoja5!$H$2:H$420)</f>
        <v>GPRS</v>
      </c>
      <c r="L167" t="str">
        <f>+_xlfn.XLOOKUP(B167,polaris!$B$2:$B$785,polaris!$C$2:$C$785)</f>
        <v>UNIVERSIDAD DE PAMPLONA  - AUT [16015120; AO 08; MET; GPRS; FONDO ADAPTACION]</v>
      </c>
      <c r="M167" t="b">
        <f t="shared" si="2"/>
        <v>1</v>
      </c>
    </row>
    <row r="168" spans="1:13" x14ac:dyDescent="0.25">
      <c r="A168" s="9">
        <v>167</v>
      </c>
      <c r="B168" s="9">
        <v>231</v>
      </c>
      <c r="C168" s="10" t="s">
        <v>589</v>
      </c>
      <c r="D168" t="str">
        <f>+_xlfn.XLOOKUP(B168,polaris!$B$2:$B$785,polaris!$D$2:$D$785)</f>
        <v>HIDROLÓGICA</v>
      </c>
      <c r="E168"/>
      <c r="F168" s="26">
        <v>23087210</v>
      </c>
      <c r="G168" s="26" t="str" cm="1">
        <f t="array" ref="G168">+_xlfn.XLOOKUP(C168,Hoja1!$E$2:$E$420,Tabla1[Nombre])</f>
        <v>CANTERAS - AUT [23087210]</v>
      </c>
      <c r="H168" t="str">
        <f>+_xlfn.XLOOKUP(F168,Tabla1[Codigo],Tabla1[Nombre])</f>
        <v>CANTERAS - AUT [23087210]</v>
      </c>
      <c r="I168" t="str">
        <f>+_xlfn.XLOOKUP(F168,Hoja5!$C$2:$C$420,Hoja5!$G$2:$G$420)</f>
        <v>DESCONECTADO</v>
      </c>
      <c r="J168" t="str" cm="1">
        <f t="array" ref="J168">+_xlfn.XLOOKUP(F168,Hoja5!$C$2:$C$420,Hoja5!$H$2:H$420)</f>
        <v>INMARSAT</v>
      </c>
      <c r="L168" t="str">
        <f>+_xlfn.XLOOKUP(B168,polaris!$B$2:$B$785,polaris!$C$2:$C$785)</f>
        <v>CANTERAS - AUT [23087210; ANT; HID; INMARSAT; AO10; FONDO ADAPTACION]</v>
      </c>
      <c r="M168" t="b">
        <f t="shared" si="2"/>
        <v>1</v>
      </c>
    </row>
    <row r="169" spans="1:13" x14ac:dyDescent="0.25">
      <c r="A169" s="9">
        <v>168</v>
      </c>
      <c r="B169" s="9">
        <v>232</v>
      </c>
      <c r="C169" s="10" t="s">
        <v>590</v>
      </c>
      <c r="D169" t="str">
        <f>+_xlfn.XLOOKUP(B169,polaris!$B$2:$B$785,polaris!$D$2:$D$785)</f>
        <v>HIDROLÓGICA</v>
      </c>
      <c r="E169"/>
      <c r="F169" s="26">
        <v>52017030</v>
      </c>
      <c r="G169" s="26" t="str" cm="1">
        <f t="array" ref="G169">+_xlfn.XLOOKUP(C169,Hoja1!$E$2:$E$420,Tabla1[Nombre])</f>
        <v>LA FONDA - AUT [52017030]</v>
      </c>
      <c r="H169" t="str">
        <f>+_xlfn.XLOOKUP(F169,Tabla1[Codigo],Tabla1[Nombre])</f>
        <v>LA FONDA - AUT [52017030]</v>
      </c>
      <c r="I169" t="str">
        <f>+_xlfn.XLOOKUP(F169,Hoja5!$C$2:$C$420,Hoja5!$G$2:$G$420)</f>
        <v>DESCONECTADO</v>
      </c>
      <c r="J169" t="str" cm="1">
        <f t="array" ref="J169">+_xlfn.XLOOKUP(F169,Hoja5!$C$2:$C$420,Hoja5!$H$2:H$420)</f>
        <v>GPRS</v>
      </c>
      <c r="L169" t="str">
        <f>+_xlfn.XLOOKUP(B169,polaris!$B$2:$B$785,polaris!$C$2:$C$785)</f>
        <v>LA FONDA - AUT [52017030; AO-07; HID; GPRS; FONDO ADAPTACION]</v>
      </c>
      <c r="M169" t="b">
        <f t="shared" si="2"/>
        <v>1</v>
      </c>
    </row>
    <row r="170" spans="1:13" x14ac:dyDescent="0.25">
      <c r="A170" s="9">
        <v>169</v>
      </c>
      <c r="B170" s="9">
        <v>233</v>
      </c>
      <c r="C170" s="10" t="s">
        <v>591</v>
      </c>
      <c r="D170" t="str">
        <f>+_xlfn.XLOOKUP(B170,polaris!$B$2:$B$785,polaris!$D$2:$D$785)</f>
        <v>HIDROLÓGICA</v>
      </c>
      <c r="E170"/>
      <c r="F170" s="26">
        <v>2601700104</v>
      </c>
      <c r="G170" s="26" t="str" cm="1">
        <f t="array" ref="G170">+_xlfn.XLOOKUP(C170,Hoja1!$E$2:$E$420,Tabla1[Nombre])</f>
        <v>MOLINOS - AUT [2601700104]</v>
      </c>
      <c r="H170" t="str">
        <f>+_xlfn.XLOOKUP(F170,Tabla1[Codigo],Tabla1[Nombre])</f>
        <v>MOLINOS - AUT [2601700104]</v>
      </c>
      <c r="I170" t="str">
        <f>+_xlfn.XLOOKUP(F170,Hoja5!$C$2:$C$420,Hoja5!$G$2:$G$420)</f>
        <v>DESCONECTADO</v>
      </c>
      <c r="J170" t="str" cm="1">
        <f t="array" ref="J170">+_xlfn.XLOOKUP(F170,Hoja5!$C$2:$C$420,Hoja5!$H$2:H$420)</f>
        <v>GPRS</v>
      </c>
      <c r="L170" t="str">
        <f>+_xlfn.XLOOKUP(B170,polaris!$B$2:$B$785,polaris!$C$2:$C$785)</f>
        <v>MOLINOS - AUT [2601700104; AO 09; HID; GPRS; FONDO ADAPTACION]</v>
      </c>
      <c r="M170" t="b">
        <f t="shared" si="2"/>
        <v>1</v>
      </c>
    </row>
    <row r="171" spans="1:13" x14ac:dyDescent="0.25">
      <c r="A171" s="9">
        <v>170</v>
      </c>
      <c r="B171" s="9">
        <v>235</v>
      </c>
      <c r="C171" s="10" t="s">
        <v>592</v>
      </c>
      <c r="D171" t="str">
        <f>+_xlfn.XLOOKUP(B171,polaris!$B$2:$B$785,polaris!$D$2:$D$785)</f>
        <v>METEOROLÓGICA</v>
      </c>
      <c r="E171"/>
      <c r="F171" s="26">
        <v>21205940</v>
      </c>
      <c r="G171" s="26" t="str" cm="1">
        <f t="array" ref="G171">+_xlfn.XLOOKUP(C171,Hoja1!$E$2:$E$420,Tabla1[Nombre])</f>
        <v>VILLA INES  - AUT [21205940]</v>
      </c>
      <c r="H171" t="str">
        <f>+_xlfn.XLOOKUP(F171,Tabla1[Codigo],Tabla1[Nombre])</f>
        <v>VILLA INES  - AUT [21205940]</v>
      </c>
      <c r="I171" t="str">
        <f>+_xlfn.XLOOKUP(F171,Hoja5!$C$2:$C$420,Hoja5!$G$2:$G$420)</f>
        <v>EN LINEA</v>
      </c>
      <c r="J171" t="str" cm="1">
        <f t="array" ref="J171">+_xlfn.XLOOKUP(F171,Hoja5!$C$2:$C$420,Hoja5!$H$2:H$420)</f>
        <v>GPRS</v>
      </c>
      <c r="L171" t="str">
        <f>+_xlfn.XLOOKUP(B171,polaris!$B$2:$B$785,polaris!$C$2:$C$785)</f>
        <v>VILLA INES [21205940; AO11; FONDO ADAPTACION]</v>
      </c>
      <c r="M171" t="b">
        <f t="shared" si="2"/>
        <v>1</v>
      </c>
    </row>
    <row r="172" spans="1:13" x14ac:dyDescent="0.25">
      <c r="A172" s="9">
        <v>171</v>
      </c>
      <c r="B172" s="9">
        <v>236</v>
      </c>
      <c r="C172" s="10" t="s">
        <v>593</v>
      </c>
      <c r="D172" t="str">
        <f>+_xlfn.XLOOKUP(B172,polaris!$B$2:$B$785,polaris!$D$2:$D$785)</f>
        <v>METEOROLÓGICA</v>
      </c>
      <c r="E172"/>
      <c r="F172" s="26">
        <v>21206920</v>
      </c>
      <c r="G172" s="26" t="str" cm="1">
        <f t="array" ref="G172">+_xlfn.XLOOKUP(C172,Hoja1!$E$2:$E$420,Tabla1[Nombre])</f>
        <v>VILLA TERESA - AUT [21206920]</v>
      </c>
      <c r="H172" t="str">
        <f>+_xlfn.XLOOKUP(F172,Tabla1[Codigo],Tabla1[Nombre])</f>
        <v>VILLA TERESA - AUT [21206920]</v>
      </c>
      <c r="I172" t="str">
        <f>+_xlfn.XLOOKUP(F172,Hoja5!$C$2:$C$420,Hoja5!$G$2:$G$420)</f>
        <v>EN LINEA</v>
      </c>
      <c r="J172" t="str" cm="1">
        <f t="array" ref="J172">+_xlfn.XLOOKUP(F172,Hoja5!$C$2:$C$420,Hoja5!$H$2:H$420)</f>
        <v>GPRS</v>
      </c>
      <c r="L172" t="str">
        <f>+_xlfn.XLOOKUP(B172,polaris!$B$2:$B$785,polaris!$C$2:$C$785)</f>
        <v>VILLA TERESA [21206920; AO11; FONDO ADAPTACION]</v>
      </c>
      <c r="M172" t="b">
        <f t="shared" si="2"/>
        <v>1</v>
      </c>
    </row>
    <row r="173" spans="1:13" x14ac:dyDescent="0.25">
      <c r="A173" s="9">
        <v>172</v>
      </c>
      <c r="B173" s="9">
        <v>239</v>
      </c>
      <c r="C173" s="10" t="s">
        <v>594</v>
      </c>
      <c r="D173" t="str">
        <f>+_xlfn.XLOOKUP(B173,polaris!$B$2:$B$785,polaris!$D$2:$D$785)</f>
        <v>METEOROLÓGICA</v>
      </c>
      <c r="E173"/>
      <c r="F173" s="26">
        <v>23065180</v>
      </c>
      <c r="G173" s="26" t="str" cm="1">
        <f t="array" ref="G173">+_xlfn.XLOOKUP(C173,Hoja1!$E$2:$E$420,Tabla1[Nombre])</f>
        <v>VILLETA - AUT [23065180]</v>
      </c>
      <c r="H173" t="str">
        <f>+_xlfn.XLOOKUP(F173,Tabla1[Codigo],Tabla1[Nombre])</f>
        <v>VILLETA - AUT [23065180]</v>
      </c>
      <c r="I173" t="str">
        <f>+_xlfn.XLOOKUP(F173,Hoja5!$C$2:$C$420,Hoja5!$G$2:$G$420)</f>
        <v>EN LINEA</v>
      </c>
      <c r="J173" t="str" cm="1">
        <f t="array" ref="J173">+_xlfn.XLOOKUP(F173,Hoja5!$C$2:$C$420,Hoja5!$H$2:H$420)</f>
        <v>GPRS</v>
      </c>
      <c r="L173" t="str">
        <f>+_xlfn.XLOOKUP(B173,polaris!$B$2:$B$785,polaris!$C$2:$C$785)</f>
        <v>VILLETA [23065180; AO 11; FONDO ADAPTACION]</v>
      </c>
      <c r="M173" t="b">
        <f t="shared" si="2"/>
        <v>1</v>
      </c>
    </row>
    <row r="174" spans="1:13" x14ac:dyDescent="0.25">
      <c r="A174" s="9">
        <v>173</v>
      </c>
      <c r="B174" s="9">
        <v>241</v>
      </c>
      <c r="C174" s="10" t="s">
        <v>595</v>
      </c>
      <c r="D174" t="str">
        <f>+_xlfn.XLOOKUP(B174,polaris!$B$2:$B$785,polaris!$D$2:$D$785)</f>
        <v>METEOROLÓGICA</v>
      </c>
      <c r="E174"/>
      <c r="F174" s="26">
        <v>3206500059</v>
      </c>
      <c r="G174" s="26" t="str" cm="1">
        <f t="array" ref="G174">+_xlfn.XLOOKUP(C174,Hoja1!$E$2:$E$420,Tabla1[Nombre])</f>
        <v>VISTA HERMOSA - AUT [3206500059]</v>
      </c>
      <c r="H174" t="str">
        <f>+_xlfn.XLOOKUP(F174,Tabla1[Codigo],Tabla1[Nombre])</f>
        <v>VISTA HERMOSA - AUT [3206500059]</v>
      </c>
      <c r="I174" t="str">
        <f>+_xlfn.XLOOKUP(F174,Hoja5!$C$2:$C$420,Hoja5!$G$2:$G$420)</f>
        <v>EN LINEA</v>
      </c>
      <c r="J174" t="str" cm="1">
        <f t="array" ref="J174">+_xlfn.XLOOKUP(F174,Hoja5!$C$2:$C$420,Hoja5!$H$2:H$420)</f>
        <v>GPRS</v>
      </c>
      <c r="L174" t="str">
        <f>+_xlfn.XLOOKUP(B174,polaris!$B$2:$B$785,polaris!$C$2:$C$785)</f>
        <v>VISTA HERMOSA - AUT [3206500059;AO 03;FONDO ADAPTACION]</v>
      </c>
      <c r="M174" t="b">
        <f t="shared" si="2"/>
        <v>1</v>
      </c>
    </row>
    <row r="175" spans="1:13" x14ac:dyDescent="0.25">
      <c r="A175" s="9">
        <v>174</v>
      </c>
      <c r="B175" s="9">
        <v>242</v>
      </c>
      <c r="C175" s="10" t="s">
        <v>596</v>
      </c>
      <c r="D175" t="str">
        <f>+_xlfn.XLOOKUP(B175,polaris!$B$2:$B$785,polaris!$D$2:$D$785)</f>
        <v>METEOROLÓGICA</v>
      </c>
      <c r="E175"/>
      <c r="F175" s="26">
        <v>23195090</v>
      </c>
      <c r="G175" s="26" t="str" cm="1">
        <f t="array" ref="G175">+_xlfn.XLOOKUP(C175,Hoja1!$E$2:$E$420,Tabla1[Nombre])</f>
        <v>VIVERO SURATA  - AUT [23195090]</v>
      </c>
      <c r="H175" t="str">
        <f>+_xlfn.XLOOKUP(F175,Tabla1[Codigo],Tabla1[Nombre])</f>
        <v>VIVERO SURATA  - AUT [23195090]</v>
      </c>
      <c r="I175" t="str">
        <f>+_xlfn.XLOOKUP(F175,Hoja5!$C$2:$C$420,Hoja5!$G$2:$G$420)</f>
        <v>EN LINEA</v>
      </c>
      <c r="J175" t="str" cm="1">
        <f t="array" ref="J175">+_xlfn.XLOOKUP(F175,Hoja5!$C$2:$C$420,Hoja5!$H$2:H$420)</f>
        <v>GPRS</v>
      </c>
      <c r="L175" t="str">
        <f>+_xlfn.XLOOKUP(B175,polaris!$B$2:$B$785,polaris!$C$2:$C$785)</f>
        <v>VIVERO SURATA  - AUT [23195090; AO 08; MET; GPRS; FONDO ADAPTACION]</v>
      </c>
      <c r="M175" t="b">
        <f t="shared" si="2"/>
        <v>1</v>
      </c>
    </row>
    <row r="176" spans="1:13" x14ac:dyDescent="0.25">
      <c r="A176" s="9">
        <v>175</v>
      </c>
      <c r="B176" s="9">
        <v>243</v>
      </c>
      <c r="C176" s="10" t="s">
        <v>597</v>
      </c>
      <c r="D176" t="str">
        <f>+_xlfn.XLOOKUP(B176,polaris!$B$2:$B$785,polaris!$D$2:$D$785)</f>
        <v>METEOROLÓGICA</v>
      </c>
      <c r="E176"/>
      <c r="F176" s="26">
        <v>24055080</v>
      </c>
      <c r="G176" s="26" t="str" cm="1">
        <f t="array" ref="G176">+_xlfn.XLOOKUP(C176,Hoja1!$E$2:$E$420,Tabla1[Nombre])</f>
        <v>VIZCAINA LA LIZAMA  - AUT [24055080]</v>
      </c>
      <c r="H176" t="str">
        <f>+_xlfn.XLOOKUP(F176,Tabla1[Codigo],Tabla1[Nombre])</f>
        <v>VIZCAINA LA LIZAMA  - AUT [24055080]</v>
      </c>
      <c r="I176" t="str">
        <f>+_xlfn.XLOOKUP(F176,Hoja5!$C$2:$C$420,Hoja5!$G$2:$G$420)</f>
        <v>DESCONECTADO</v>
      </c>
      <c r="J176" t="str" cm="1">
        <f t="array" ref="J176">+_xlfn.XLOOKUP(F176,Hoja5!$C$2:$C$420,Hoja5!$H$2:H$420)</f>
        <v>GPRS</v>
      </c>
      <c r="L176" t="str">
        <f>+_xlfn.XLOOKUP(B176,polaris!$B$2:$B$785,polaris!$C$2:$C$785)</f>
        <v>VIZCAINA LA LIZAMA  - AUT [24055080; AO 08; MET; GPRS; FONDO ADAPTACION]</v>
      </c>
      <c r="M176" t="b">
        <f t="shared" si="2"/>
        <v>1</v>
      </c>
    </row>
    <row r="177" spans="1:13" x14ac:dyDescent="0.25">
      <c r="A177" s="9">
        <v>176</v>
      </c>
      <c r="B177" s="9">
        <v>245</v>
      </c>
      <c r="C177" s="10" t="s">
        <v>598</v>
      </c>
      <c r="D177" t="str">
        <f>+_xlfn.XLOOKUP(B177,polaris!$B$2:$B$785,polaris!$D$2:$D$785)</f>
        <v>HIDROLÓGICA</v>
      </c>
      <c r="E177"/>
      <c r="F177" s="26">
        <v>44017110</v>
      </c>
      <c r="G177" s="26" t="str" cm="1">
        <f t="array" ref="G177">+_xlfn.XLOOKUP(C177,Hoja1!$E$2:$E$420,Tabla1[Nombre])</f>
        <v>ANDAQUI  - AUT [44017110]</v>
      </c>
      <c r="H177" t="str">
        <f>+_xlfn.XLOOKUP(F177,Tabla1[Codigo],Tabla1[Nombre])</f>
        <v>ANDAQUI  - AUT [44017110]</v>
      </c>
      <c r="I177" t="str">
        <f>+_xlfn.XLOOKUP(F177,Hoja5!$C$2:$C$420,Hoja5!$G$2:$G$420)</f>
        <v>EN LINEA</v>
      </c>
      <c r="J177" t="str" cm="1">
        <f t="array" ref="J177">+_xlfn.XLOOKUP(F177,Hoja5!$C$2:$C$420,Hoja5!$H$2:H$420)</f>
        <v>GOES</v>
      </c>
      <c r="L177" t="str">
        <f>+_xlfn.XLOOKUP(B177,polaris!$B$2:$B$785,polaris!$C$2:$C$785)</f>
        <v>ANDAQUI  - AUT [44017110; PUT; HID; GOES: CB1BA136; AO07; FONDO ADAPTACION]</v>
      </c>
      <c r="M177" t="b">
        <f t="shared" si="2"/>
        <v>1</v>
      </c>
    </row>
    <row r="178" spans="1:13" x14ac:dyDescent="0.25">
      <c r="A178" s="9">
        <v>177</v>
      </c>
      <c r="B178" s="9">
        <v>246</v>
      </c>
      <c r="C178" s="10" t="s">
        <v>599</v>
      </c>
      <c r="D178" t="str">
        <f>+_xlfn.XLOOKUP(B178,polaris!$B$2:$B$785,polaris!$D$2:$D$785)</f>
        <v>METEOROLÓGICA</v>
      </c>
      <c r="E178"/>
      <c r="F178" s="26">
        <v>26105250</v>
      </c>
      <c r="G178" s="26" t="str" cm="1">
        <f t="array" ref="G178">+_xlfn.XLOOKUP(C178,Hoja1!$E$2:$E$420,Tabla1[Nombre])</f>
        <v>ZARAGOZA - AUT [26105250]</v>
      </c>
      <c r="H178" t="str">
        <f>+_xlfn.XLOOKUP(F178,Tabla1[Codigo],Tabla1[Nombre])</f>
        <v>ZARAGOZA - AUT [26105250]</v>
      </c>
      <c r="I178" t="str">
        <f>+_xlfn.XLOOKUP(F178,Hoja5!$C$2:$C$420,Hoja5!$G$2:$G$420)</f>
        <v>EN LINEA</v>
      </c>
      <c r="J178" t="str" cm="1">
        <f t="array" ref="J178">+_xlfn.XLOOKUP(F178,Hoja5!$C$2:$C$420,Hoja5!$H$2:H$420)</f>
        <v>GPRS</v>
      </c>
      <c r="L178" t="str">
        <f>+_xlfn.XLOOKUP(B178,polaris!$B$2:$B$785,polaris!$C$2:$C$785)</f>
        <v>ZARAGOZA - AUT [26105250; AO 09; MET; GPRS; FONDO ADAPTACION]</v>
      </c>
      <c r="M178" t="b">
        <f t="shared" si="2"/>
        <v>1</v>
      </c>
    </row>
    <row r="179" spans="1:13" x14ac:dyDescent="0.25">
      <c r="A179" s="9">
        <v>178</v>
      </c>
      <c r="B179" s="9">
        <v>247</v>
      </c>
      <c r="C179" s="10" t="s">
        <v>600</v>
      </c>
      <c r="D179" t="str">
        <f>+_xlfn.XLOOKUP(B179,polaris!$B$2:$B$785,polaris!$D$2:$D$785)</f>
        <v>METEOROLÓGICA</v>
      </c>
      <c r="E179"/>
      <c r="F179" s="26">
        <v>35085060</v>
      </c>
      <c r="G179" s="26" t="str" cm="1">
        <f t="array" ref="G179">+_xlfn.XLOOKUP(C179,Hoja1!$E$2:$E$420,Tabla1[Nombre])</f>
        <v>ZETAQUIRA - AUT [35085060]</v>
      </c>
      <c r="H179" t="str">
        <f>+_xlfn.XLOOKUP(F179,Tabla1[Codigo],Tabla1[Nombre])</f>
        <v>ZETAQUIRA - AUT [35085060]</v>
      </c>
      <c r="I179" t="str">
        <f>+_xlfn.XLOOKUP(F179,Hoja5!$C$2:$C$420,Hoja5!$G$2:$G$420)</f>
        <v>EN LINEA</v>
      </c>
      <c r="J179" t="str" cm="1">
        <f t="array" ref="J179">+_xlfn.XLOOKUP(F179,Hoja5!$C$2:$C$420,Hoja5!$H$2:H$420)</f>
        <v>GPRS</v>
      </c>
      <c r="L179" t="str">
        <f>+_xlfn.XLOOKUP(B179,polaris!$B$2:$B$785,polaris!$C$2:$C$785)</f>
        <v>ZETAQUIRA - AUT [35085060; AO 06; MET; GPRS; FONDO ADAPTACION]</v>
      </c>
      <c r="M179" t="b">
        <f t="shared" si="2"/>
        <v>1</v>
      </c>
    </row>
    <row r="180" spans="1:13" x14ac:dyDescent="0.25">
      <c r="A180" s="9">
        <v>179</v>
      </c>
      <c r="B180" s="9">
        <v>248</v>
      </c>
      <c r="C180" s="10" t="s">
        <v>601</v>
      </c>
      <c r="D180" t="str">
        <f>+_xlfn.XLOOKUP(B180,polaris!$B$2:$B$785,polaris!$D$2:$D$785)</f>
        <v>METEOROLÓGICA</v>
      </c>
      <c r="E180"/>
      <c r="F180" s="26">
        <v>1206500136</v>
      </c>
      <c r="G180" s="26" t="str" cm="1">
        <f t="array" ref="G180">+_xlfn.XLOOKUP(C180,Hoja1!$E$2:$E$420,Tabla1[Nombre])</f>
        <v>UNIVERSIDAD UNAD CARTAGENA - AUT   [1206500136]</v>
      </c>
      <c r="H180" t="str">
        <f>+_xlfn.XLOOKUP(F180,Tabla1[Codigo],Tabla1[Nombre])</f>
        <v>UNIVERSIDAD UNAD CARTAGENA - AUT   [1206500136]</v>
      </c>
      <c r="I180" t="str">
        <f>+_xlfn.XLOOKUP(F180,Hoja5!$C$2:$C$420,Hoja5!$G$2:$G$420)</f>
        <v>EN LINEA</v>
      </c>
      <c r="J180" t="str" cm="1">
        <f t="array" ref="J180">+_xlfn.XLOOKUP(F180,Hoja5!$C$2:$C$420,Hoja5!$H$2:H$420)</f>
        <v>GPRS</v>
      </c>
      <c r="L180" t="str">
        <f>+_xlfn.XLOOKUP(B180,polaris!$B$2:$B$785,polaris!$C$2:$C$785)</f>
        <v>UNIVERSIDAD UNAD CARTAGENA - AUT   [1206500136; AO 02; FONDO ADPTACION ]</v>
      </c>
      <c r="M180" t="b">
        <f t="shared" si="2"/>
        <v>1</v>
      </c>
    </row>
    <row r="181" spans="1:13" x14ac:dyDescent="0.25">
      <c r="A181" s="9">
        <v>180</v>
      </c>
      <c r="B181" s="9">
        <v>250</v>
      </c>
      <c r="C181" s="10" t="s">
        <v>602</v>
      </c>
      <c r="D181" t="str">
        <f>+_xlfn.XLOOKUP(B181,polaris!$B$2:$B$785,polaris!$D$2:$D$785)</f>
        <v>METEOROLÓGICA</v>
      </c>
      <c r="E181"/>
      <c r="F181" s="26">
        <v>2621500070</v>
      </c>
      <c r="G181" s="26" t="str" cm="1">
        <f t="array" ref="G181">+_xlfn.XLOOKUP(C181,Hoja1!$E$2:$E$420,Tabla1[Nombre])</f>
        <v>ITUANGO - AUT [2621500070]</v>
      </c>
      <c r="H181" t="str">
        <f>+_xlfn.XLOOKUP(F181,Tabla1[Codigo],Tabla1[Nombre])</f>
        <v>ITUANGO - AUT [2621500070]</v>
      </c>
      <c r="I181" t="str">
        <f>+_xlfn.XLOOKUP(F181,Hoja5!$C$2:$C$420,Hoja5!$G$2:$G$420)</f>
        <v>EN LINEA</v>
      </c>
      <c r="J181" t="str" cm="1">
        <f t="array" ref="J181">+_xlfn.XLOOKUP(F181,Hoja5!$C$2:$C$420,Hoja5!$H$2:H$420)</f>
        <v>GPRS</v>
      </c>
      <c r="L181" t="str">
        <f>+_xlfn.XLOOKUP(B181,polaris!$B$2:$B$785,polaris!$C$2:$C$785)</f>
        <v>ITUANGO [2621500070;AO01;FONDO ADAPTACION]</v>
      </c>
      <c r="M181" t="b">
        <f t="shared" si="2"/>
        <v>1</v>
      </c>
    </row>
    <row r="182" spans="1:13" x14ac:dyDescent="0.25">
      <c r="A182" s="9">
        <v>181</v>
      </c>
      <c r="B182" s="9">
        <v>251</v>
      </c>
      <c r="C182" s="10" t="s">
        <v>603</v>
      </c>
      <c r="D182" t="str">
        <f>+_xlfn.XLOOKUP(B182,polaris!$B$2:$B$785,polaris!$D$2:$D$785)</f>
        <v>HIDROLÓGICA</v>
      </c>
      <c r="E182"/>
      <c r="F182" s="26">
        <v>3518700145</v>
      </c>
      <c r="G182" s="26" t="str" cm="1">
        <f t="array" ref="G182">+_xlfn.XLOOKUP(C182,Hoja1!$E$2:$E$420,Tabla1[Nombre])</f>
        <v>TUA BALNEARIO - AUT [ ]</v>
      </c>
      <c r="H182" t="str">
        <f>+_xlfn.XLOOKUP(F182,Tabla1[Codigo],Tabla1[Nombre])</f>
        <v>TUA BALNEARIO - AUT [ ]</v>
      </c>
      <c r="I182" t="str">
        <f>+_xlfn.XLOOKUP(F182,Hoja5!$C$2:$C$420,Hoja5!$G$2:$G$420)</f>
        <v>EN LINEA</v>
      </c>
      <c r="J182" t="str" cm="1">
        <f t="array" ref="J182">+_xlfn.XLOOKUP(F182,Hoja5!$C$2:$C$420,Hoja5!$H$2:H$420)</f>
        <v>GPRS</v>
      </c>
      <c r="L182" t="str">
        <f>+_xlfn.XLOOKUP(B182,polaris!$B$2:$B$785,polaris!$C$2:$C$785)</f>
        <v>TUA BALNEARIO - AUT [3518700145;CAS; HID; INMARSAT; AO06; FONDO ADAPTACION]</v>
      </c>
      <c r="M182" t="b">
        <f t="shared" si="2"/>
        <v>1</v>
      </c>
    </row>
    <row r="183" spans="1:13" x14ac:dyDescent="0.25">
      <c r="A183" s="9">
        <v>182</v>
      </c>
      <c r="B183" s="9">
        <v>252</v>
      </c>
      <c r="C183" s="10" t="s">
        <v>604</v>
      </c>
      <c r="D183" t="str">
        <f>+_xlfn.XLOOKUP(B183,polaris!$B$2:$B$785,polaris!$D$2:$D$785)</f>
        <v>METEOROLÓGICA</v>
      </c>
      <c r="E183"/>
      <c r="F183" s="26">
        <v>2308500071</v>
      </c>
      <c r="G183" s="26" t="str" cm="1">
        <f t="array" ref="G183">+_xlfn.XLOOKUP(C183,Hoja1!$E$2:$E$420,Tabla1[Nombre])</f>
        <v>RETIRO - AUT [2308500071]</v>
      </c>
      <c r="H183" t="str">
        <f>+_xlfn.XLOOKUP(F183,Tabla1[Codigo],Tabla1[Nombre])</f>
        <v>RETIRO - AUT [2308500071]</v>
      </c>
      <c r="I183" t="str">
        <f>+_xlfn.XLOOKUP(F183,Hoja5!$C$2:$C$420,Hoja5!$G$2:$G$420)</f>
        <v>DESCONECTADO</v>
      </c>
      <c r="J183" t="str" cm="1">
        <f t="array" ref="J183">+_xlfn.XLOOKUP(F183,Hoja5!$C$2:$C$420,Hoja5!$H$2:H$420)</f>
        <v>INMARSAT</v>
      </c>
      <c r="L183" t="str">
        <f>+_xlfn.XLOOKUP(B183,polaris!$B$2:$B$785,polaris!$C$2:$C$785)</f>
        <v>RETIRO [2308500071;AO 01;FONDO ADAPTACION]</v>
      </c>
      <c r="M183" t="b">
        <f t="shared" si="2"/>
        <v>1</v>
      </c>
    </row>
    <row r="184" spans="1:13" x14ac:dyDescent="0.25">
      <c r="A184" s="9">
        <v>183</v>
      </c>
      <c r="B184" s="9">
        <v>253</v>
      </c>
      <c r="C184" s="10" t="s">
        <v>605</v>
      </c>
      <c r="D184" t="str">
        <f>+_xlfn.XLOOKUP(B184,polaris!$B$2:$B$785,polaris!$D$2:$D$785)</f>
        <v>HIDROLÓGICA</v>
      </c>
      <c r="E184"/>
      <c r="F184" s="26">
        <v>12017020</v>
      </c>
      <c r="G184" s="26" t="str" cm="1">
        <f t="array" ref="G184">+_xlfn.XLOOKUP(C184,Hoja1!$E$2:$E$420,Tabla1[Nombre])</f>
        <v>BARRANQUILLITA  - AUT [12017020]</v>
      </c>
      <c r="H184" t="str">
        <f>+_xlfn.XLOOKUP(F184,Tabla1[Codigo],Tabla1[Nombre])</f>
        <v>BARRANQUILLITA  - AUT [12017020]</v>
      </c>
      <c r="I184" t="str">
        <f>+_xlfn.XLOOKUP(F184,Hoja5!$C$2:$C$420,Hoja5!$G$2:$G$420)</f>
        <v>EN LINEA</v>
      </c>
      <c r="J184" t="str" cm="1">
        <f t="array" ref="J184">+_xlfn.XLOOKUP(F184,Hoja5!$C$2:$C$420,Hoja5!$H$2:H$420)</f>
        <v>GPRS</v>
      </c>
      <c r="L184" t="str">
        <f>+_xlfn.XLOOKUP(B184,polaris!$B$2:$B$785,polaris!$C$2:$C$785)</f>
        <v>BARRANQUILLITA [12017020;AO 01;FONDO ADAPTACION]</v>
      </c>
      <c r="M184" t="b">
        <f t="shared" si="2"/>
        <v>1</v>
      </c>
    </row>
    <row r="185" spans="1:13" x14ac:dyDescent="0.25">
      <c r="A185" s="9">
        <v>184</v>
      </c>
      <c r="B185" s="9">
        <v>255</v>
      </c>
      <c r="C185" s="10" t="s">
        <v>606</v>
      </c>
      <c r="D185" t="str">
        <f>+_xlfn.XLOOKUP(B185,polaris!$B$2:$B$785,polaris!$D$2:$D$785)</f>
        <v>HIDROLÓGICA</v>
      </c>
      <c r="E185"/>
      <c r="F185" s="26">
        <v>23087190</v>
      </c>
      <c r="G185" s="26" t="str" cm="1">
        <f t="array" ref="G185">+_xlfn.XLOOKUP(C185,Hoja1!$E$2:$E$420,Tabla1[Nombre])</f>
        <v>LA GARRUCHA - AUT [23087190]</v>
      </c>
      <c r="H185" t="str">
        <f>+_xlfn.XLOOKUP(F185,Tabla1[Codigo],Tabla1[Nombre])</f>
        <v>LA GARRUCHA - AUT [23087190]</v>
      </c>
      <c r="I185" t="str">
        <f>+_xlfn.XLOOKUP(F185,Hoja5!$C$2:$C$420,Hoja5!$G$2:$G$420)</f>
        <v>DESCONECTADO</v>
      </c>
      <c r="J185" t="str" cm="1">
        <f t="array" ref="J185">+_xlfn.XLOOKUP(F185,Hoja5!$C$2:$C$420,Hoja5!$H$2:H$420)</f>
        <v>INMARSAT</v>
      </c>
      <c r="L185" t="str">
        <f>+_xlfn.XLOOKUP(B185,polaris!$B$2:$B$785,polaris!$C$2:$C$785)</f>
        <v>LA GARRUCHA [23087190; ANT; HID; INMARSAT; AO01; FONDO ADAPTACION]</v>
      </c>
      <c r="M185" t="b">
        <f t="shared" si="2"/>
        <v>1</v>
      </c>
    </row>
    <row r="186" spans="1:13" x14ac:dyDescent="0.25">
      <c r="A186" s="9">
        <v>185</v>
      </c>
      <c r="B186" s="9">
        <v>256</v>
      </c>
      <c r="C186" s="10" t="s">
        <v>607</v>
      </c>
      <c r="D186" t="str">
        <f>+_xlfn.XLOOKUP(B186,polaris!$B$2:$B$785,polaris!$D$2:$D$785)</f>
        <v>HIDROLÓGICA</v>
      </c>
      <c r="E186"/>
      <c r="F186" s="26">
        <v>11117050</v>
      </c>
      <c r="G186" s="26" t="str" cm="1">
        <f t="array" ref="G186">+_xlfn.XLOOKUP(C186,Hoja1!$E$2:$E$420,Tabla1[Nombre])</f>
        <v>DABEIBA 2  - AUT [11117050]</v>
      </c>
      <c r="H186" t="str">
        <f>+_xlfn.XLOOKUP(F186,Tabla1[Codigo],Tabla1[Nombre])</f>
        <v>DABEIBA 2  - AUT [11117050]</v>
      </c>
      <c r="I186" t="str">
        <f>+_xlfn.XLOOKUP(F186,Hoja5!$C$2:$C$420,Hoja5!$G$2:$G$420)</f>
        <v>EN LINEA</v>
      </c>
      <c r="J186" t="str" cm="1">
        <f t="array" ref="J186">+_xlfn.XLOOKUP(F186,Hoja5!$C$2:$C$420,Hoja5!$H$2:H$420)</f>
        <v>GPRS</v>
      </c>
      <c r="L186" t="str">
        <f>+_xlfn.XLOOKUP(B186,polaris!$B$2:$B$785,polaris!$C$2:$C$785)</f>
        <v>DABEIBA 2 [11117050; AO-01;FONDO ADAPTACION]</v>
      </c>
      <c r="M186" t="b">
        <f t="shared" si="2"/>
        <v>1</v>
      </c>
    </row>
    <row r="187" spans="1:13" x14ac:dyDescent="0.25">
      <c r="A187" s="9">
        <v>186</v>
      </c>
      <c r="B187" s="9">
        <v>258</v>
      </c>
      <c r="C187" s="10" t="s">
        <v>608</v>
      </c>
      <c r="D187" t="str">
        <f>+_xlfn.XLOOKUP(B187,polaris!$B$2:$B$785,polaris!$D$2:$D$785)</f>
        <v>METEOROLÓGICA</v>
      </c>
      <c r="E187"/>
      <c r="F187" s="26">
        <v>1111500036</v>
      </c>
      <c r="G187" s="26" t="str" cm="1">
        <f t="array" ref="G187">+_xlfn.XLOOKUP(C187,Hoja1!$E$2:$E$420,Tabla1[Nombre])</f>
        <v>ABRIAQUI - AUT   [1111500036]</v>
      </c>
      <c r="H187" t="str">
        <f>+_xlfn.XLOOKUP(F187,Tabla1[Codigo],Tabla1[Nombre])</f>
        <v>ABRIAQUI - AUT   [1111500036]</v>
      </c>
      <c r="I187" t="str">
        <f>+_xlfn.XLOOKUP(F187,Hoja5!$C$2:$C$420,Hoja5!$G$2:$G$420)</f>
        <v>EN LINEA</v>
      </c>
      <c r="J187" t="str" cm="1">
        <f t="array" ref="J187">+_xlfn.XLOOKUP(F187,Hoja5!$C$2:$C$420,Hoja5!$H$2:H$420)</f>
        <v>GPRS</v>
      </c>
      <c r="L187" t="str">
        <f>+_xlfn.XLOOKUP(B187,polaris!$B$2:$B$785,polaris!$C$2:$C$785)</f>
        <v>ABRIAQUI [1111500036; AO 01;FONDO ADAPTACION]</v>
      </c>
      <c r="M187" t="b">
        <f t="shared" si="2"/>
        <v>1</v>
      </c>
    </row>
    <row r="188" spans="1:13" x14ac:dyDescent="0.25">
      <c r="A188" s="9">
        <v>187</v>
      </c>
      <c r="B188" s="9">
        <v>259</v>
      </c>
      <c r="C188" s="10" t="s">
        <v>609</v>
      </c>
      <c r="D188" t="str">
        <f>+_xlfn.XLOOKUP(B188,polaris!$B$2:$B$785,polaris!$D$2:$D$785)</f>
        <v>HIDROLÓGICA</v>
      </c>
      <c r="E188"/>
      <c r="F188" s="26">
        <v>13077060</v>
      </c>
      <c r="G188" s="26" t="str" cm="1">
        <f t="array" ref="G188">+_xlfn.XLOOKUP(C188,Hoja1!$E$2:$E$420,Tabla1[Nombre])</f>
        <v>COTOCA ABAJO  - AUT [13077060]</v>
      </c>
      <c r="H188" t="str">
        <f>+_xlfn.XLOOKUP(F188,Tabla1[Codigo],Tabla1[Nombre])</f>
        <v>COTOCA ABAJO  - AUT [13077060]</v>
      </c>
      <c r="I188" t="str">
        <f>+_xlfn.XLOOKUP(F188,Hoja5!$C$2:$C$420,Hoja5!$G$2:$G$420)</f>
        <v>EN LINEA</v>
      </c>
      <c r="J188" t="str" cm="1">
        <f t="array" ref="J188">+_xlfn.XLOOKUP(F188,Hoja5!$C$2:$C$420,Hoja5!$H$2:H$420)</f>
        <v>GPRS</v>
      </c>
      <c r="L188" t="str">
        <f>+_xlfn.XLOOKUP(B188,polaris!$B$2:$B$785,polaris!$C$2:$C$785)</f>
        <v>COTOCA ABAJO  - AUT [13077060; AO 02; FONDO ADAPTACION]</v>
      </c>
      <c r="M188" t="b">
        <f t="shared" si="2"/>
        <v>1</v>
      </c>
    </row>
    <row r="189" spans="1:13" x14ac:dyDescent="0.25">
      <c r="A189" s="9">
        <v>188</v>
      </c>
      <c r="B189" s="9">
        <v>261</v>
      </c>
      <c r="C189" s="10" t="s">
        <v>610</v>
      </c>
      <c r="D189" t="str">
        <f>+_xlfn.XLOOKUP(B189,polaris!$B$2:$B$785,polaris!$D$2:$D$785)</f>
        <v>METEOROLÓGICA</v>
      </c>
      <c r="E189"/>
      <c r="F189" s="26">
        <v>26180250</v>
      </c>
      <c r="G189" s="26" t="str" cm="1">
        <f t="array" ref="G189">+_xlfn.XLOOKUP(C189,Hoja1!$E$2:$E$420,Tabla1[Nombre])</f>
        <v>VALLE ALTO  - AUT [26180250]</v>
      </c>
      <c r="H189" t="str">
        <f>+_xlfn.XLOOKUP(F189,Tabla1[Codigo],Tabla1[Nombre])</f>
        <v>VALLE ALTO  - AUT [26180250]</v>
      </c>
      <c r="I189" t="str">
        <f>+_xlfn.XLOOKUP(F189,Hoja5!$C$2:$C$420,Hoja5!$G$2:$G$420)</f>
        <v>EN LINEA</v>
      </c>
      <c r="J189" t="str" cm="1">
        <f t="array" ref="J189">+_xlfn.XLOOKUP(F189,Hoja5!$C$2:$C$420,Hoja5!$H$2:H$420)</f>
        <v>GOES</v>
      </c>
      <c r="L189" t="str">
        <f>+_xlfn.XLOOKUP(B189,polaris!$B$2:$B$785,polaris!$C$2:$C$785)</f>
        <v>VALLE ALTO [26180250;AO 01;FONDO ADAPTACION]</v>
      </c>
      <c r="M189" t="b">
        <f t="shared" si="2"/>
        <v>1</v>
      </c>
    </row>
    <row r="190" spans="1:13" x14ac:dyDescent="0.25">
      <c r="A190" s="9">
        <v>189</v>
      </c>
      <c r="B190" s="9">
        <v>262</v>
      </c>
      <c r="C190" s="10" t="s">
        <v>611</v>
      </c>
      <c r="D190" t="str">
        <f>+_xlfn.XLOOKUP(B190,polaris!$B$2:$B$785,polaris!$D$2:$D$785)</f>
        <v>HIDROLÓGICA</v>
      </c>
      <c r="E190"/>
      <c r="F190" s="26">
        <v>26247010</v>
      </c>
      <c r="G190" s="26" t="str" cm="1">
        <f t="array" ref="G190">+_xlfn.XLOOKUP(C190,Hoja1!$E$2:$E$420,Tabla1[Nombre])</f>
        <v>PALMIRA HACIENDA  - AUT [26247010]</v>
      </c>
      <c r="H190" t="str">
        <f>+_xlfn.XLOOKUP(F190,Tabla1[Codigo],Tabla1[Nombre])</f>
        <v>PALMIRA HACIENDA  - AUT [26247010]</v>
      </c>
      <c r="I190" t="str">
        <f>+_xlfn.XLOOKUP(F190,Hoja5!$C$2:$C$420,Hoja5!$G$2:$G$420)</f>
        <v>EN LINEA</v>
      </c>
      <c r="J190" t="str" cm="1">
        <f t="array" ref="J190">+_xlfn.XLOOKUP(F190,Hoja5!$C$2:$C$420,Hoja5!$H$2:H$420)</f>
        <v>GOES</v>
      </c>
      <c r="L190" t="str">
        <f>+_xlfn.XLOOKUP(B190,polaris!$B$2:$B$785,polaris!$C$2:$C$785)</f>
        <v>HACIENDA PALMIRA [26247010;AO 01;FONDO ADAPTACION]</v>
      </c>
      <c r="M190" t="b">
        <f t="shared" si="2"/>
        <v>1</v>
      </c>
    </row>
    <row r="191" spans="1:13" x14ac:dyDescent="0.25">
      <c r="A191" s="9">
        <v>190</v>
      </c>
      <c r="B191" s="9">
        <v>264</v>
      </c>
      <c r="C191" s="10" t="s">
        <v>612</v>
      </c>
      <c r="D191" t="str">
        <f>+_xlfn.XLOOKUP(B191,polaris!$B$2:$B$785,polaris!$D$2:$D$785)</f>
        <v>HIDROLÓGICA</v>
      </c>
      <c r="E191"/>
      <c r="F191" s="26">
        <v>27037020</v>
      </c>
      <c r="G191" s="26" t="str" cm="1">
        <f t="array" ref="G191">+_xlfn.XLOOKUP(C191,Hoja1!$E$2:$E$420,Tabla1[Nombre])</f>
        <v>EL RETIRO - AUT [27037020]</v>
      </c>
      <c r="H191" t="str">
        <f>+_xlfn.XLOOKUP(F191,Tabla1[Codigo],Tabla1[Nombre])</f>
        <v>EL RETIRO - AUT [27037020]</v>
      </c>
      <c r="I191" t="str">
        <f>+_xlfn.XLOOKUP(F191,Hoja5!$C$2:$C$420,Hoja5!$G$2:$G$420)</f>
        <v>DESCONECTADO</v>
      </c>
      <c r="J191" t="str" cm="1">
        <f t="array" ref="J191">+_xlfn.XLOOKUP(F191,Hoja5!$C$2:$C$420,Hoja5!$H$2:H$420)</f>
        <v>GOES</v>
      </c>
      <c r="L191" t="str">
        <f>+_xlfn.XLOOKUP(B191,polaris!$B$2:$B$785,polaris!$C$2:$C$785)</f>
        <v>EL RETIRO - AUT [27037020;AO 01;AUTOPISTAS NORDESTE]</v>
      </c>
      <c r="M191" t="b">
        <f t="shared" si="2"/>
        <v>1</v>
      </c>
    </row>
    <row r="192" spans="1:13" x14ac:dyDescent="0.25">
      <c r="A192" s="9">
        <v>191</v>
      </c>
      <c r="B192" s="9">
        <v>266</v>
      </c>
      <c r="C192" s="10" t="s">
        <v>613</v>
      </c>
      <c r="D192" t="str">
        <f>+_xlfn.XLOOKUP(B192,polaris!$B$2:$B$785,polaris!$D$2:$D$785)</f>
        <v>HIDROLÓGICA</v>
      </c>
      <c r="E192"/>
      <c r="F192" s="26">
        <v>2619700161</v>
      </c>
      <c r="G192" s="26" t="str" cm="1">
        <f t="array" ref="G192">+_xlfn.XLOOKUP(C192,Hoja1!$E$2:$E$420,Tabla1[Nombre])</f>
        <v>SALGAR - AUT   [2619700161]</v>
      </c>
      <c r="H192" t="str">
        <f>+_xlfn.XLOOKUP(F192,Tabla1[Codigo],Tabla1[Nombre])</f>
        <v>SALGAR - AUT   [2619700161]</v>
      </c>
      <c r="I192" t="str">
        <f>+_xlfn.XLOOKUP(F192,Hoja5!$C$2:$C$420,Hoja5!$G$2:$G$420)</f>
        <v>EN LINEA</v>
      </c>
      <c r="J192" t="str" cm="1">
        <f t="array" ref="J192">+_xlfn.XLOOKUP(F192,Hoja5!$C$2:$C$420,Hoja5!$H$2:H$420)</f>
        <v>GOES</v>
      </c>
      <c r="L192" t="str">
        <f>+_xlfn.XLOOKUP(B192,polaris!$B$2:$B$785,polaris!$C$2:$C$785)</f>
        <v>SALGAR [2619700161;AO 01;FONDO DE ADAPTACIÓN]</v>
      </c>
      <c r="M192" t="b">
        <f t="shared" si="2"/>
        <v>1</v>
      </c>
    </row>
    <row r="193" spans="1:13" x14ac:dyDescent="0.25">
      <c r="A193" s="9">
        <v>192</v>
      </c>
      <c r="B193" s="9">
        <v>267</v>
      </c>
      <c r="C193" s="10" t="s">
        <v>614</v>
      </c>
      <c r="D193" t="str">
        <f>+_xlfn.XLOOKUP(B193,polaris!$B$2:$B$785,polaris!$D$2:$D$785)</f>
        <v>HIDROLÓGICA</v>
      </c>
      <c r="E193"/>
      <c r="F193" s="26">
        <v>11027030</v>
      </c>
      <c r="G193" s="26" t="str" cm="1">
        <f t="array" ref="G193">+_xlfn.XLOOKUP(C193,Hoja1!$E$2:$E$420,Tabla1[Nombre])</f>
        <v>EL SIETE - AUT [11027030]</v>
      </c>
      <c r="H193" t="str">
        <f>+_xlfn.XLOOKUP(F193,Tabla1[Codigo],Tabla1[Nombre])</f>
        <v>EL SIETE - AUT [11027030]</v>
      </c>
      <c r="I193" t="str">
        <f>+_xlfn.XLOOKUP(F193,Hoja5!$C$2:$C$420,Hoja5!$G$2:$G$420)</f>
        <v>EN LINEA</v>
      </c>
      <c r="J193" t="str" cm="1">
        <f t="array" ref="J193">+_xlfn.XLOOKUP(F193,Hoja5!$C$2:$C$420,Hoja5!$H$2:H$420)</f>
        <v>GPRS</v>
      </c>
      <c r="L193" t="str">
        <f>+_xlfn.XLOOKUP(B193,polaris!$B$2:$B$785,polaris!$C$2:$C$785)</f>
        <v>EL SIETE [11027030; AO 01; FONDO ADAPTACION]</v>
      </c>
      <c r="M193" t="b">
        <f t="shared" si="2"/>
        <v>1</v>
      </c>
    </row>
    <row r="194" spans="1:13" x14ac:dyDescent="0.25">
      <c r="A194" s="9">
        <v>193</v>
      </c>
      <c r="B194" s="9">
        <v>268</v>
      </c>
      <c r="C194" s="10" t="s">
        <v>615</v>
      </c>
      <c r="D194" t="str">
        <f>+_xlfn.XLOOKUP(B194,polaris!$B$2:$B$785,polaris!$D$2:$D$785)</f>
        <v>HIDROLÓGICA</v>
      </c>
      <c r="E194"/>
      <c r="F194" s="26">
        <v>25027050</v>
      </c>
      <c r="G194" s="26" t="str" cm="1">
        <f t="array" ref="G194">+_xlfn.XLOOKUP(C194,Hoja1!$E$2:$E$420,Tabla1[Nombre])</f>
        <v>MARGENTO  - AUT [25027050]</v>
      </c>
      <c r="H194" t="str">
        <f>+_xlfn.XLOOKUP(F194,Tabla1[Codigo],Tabla1[Nombre])</f>
        <v>MARGENTO  - AUT [25027050]</v>
      </c>
      <c r="I194" t="str">
        <f>+_xlfn.XLOOKUP(F194,Hoja5!$C$2:$C$420,Hoja5!$G$2:$G$420)</f>
        <v>EN LINEA</v>
      </c>
      <c r="J194" t="str" cm="1">
        <f t="array" ref="J194">+_xlfn.XLOOKUP(F194,Hoja5!$C$2:$C$420,Hoja5!$H$2:H$420)</f>
        <v>GPRS</v>
      </c>
      <c r="L194" t="str">
        <f>+_xlfn.XLOOKUP(B194,polaris!$B$2:$B$785,polaris!$C$2:$C$785)</f>
        <v>MARGENTO [25027050;AO 01;FONDO ADAPTACION]</v>
      </c>
      <c r="M194" t="b">
        <f t="shared" si="2"/>
        <v>1</v>
      </c>
    </row>
    <row r="195" spans="1:13" x14ac:dyDescent="0.25">
      <c r="A195" s="9">
        <v>194</v>
      </c>
      <c r="B195" s="9">
        <v>269</v>
      </c>
      <c r="C195" s="10" t="s">
        <v>616</v>
      </c>
      <c r="D195" t="str">
        <f>+_xlfn.XLOOKUP(B195,polaris!$B$2:$B$785,polaris!$D$2:$D$785)</f>
        <v>METEOROLÓGICA</v>
      </c>
      <c r="E195"/>
      <c r="F195" s="26">
        <v>12045020</v>
      </c>
      <c r="G195" s="26" t="str" cm="1">
        <f t="array" ref="G195">+_xlfn.XLOOKUP(C195,Hoja1!$E$2:$E$420,Tabla1[Nombre])</f>
        <v>CRISTO REY  - AUT [12045020]</v>
      </c>
      <c r="H195" t="str">
        <f>+_xlfn.XLOOKUP(F195,Tabla1[Codigo],Tabla1[Nombre])</f>
        <v>CRISTO REY  - AUT [12045020]</v>
      </c>
      <c r="I195" t="str">
        <f>+_xlfn.XLOOKUP(F195,Hoja5!$C$2:$C$420,Hoja5!$G$2:$G$420)</f>
        <v>EN LINEA</v>
      </c>
      <c r="J195" t="str" cm="1">
        <f t="array" ref="J195">+_xlfn.XLOOKUP(F195,Hoja5!$C$2:$C$420,Hoja5!$H$2:H$420)</f>
        <v>GPRS</v>
      </c>
      <c r="L195" t="str">
        <f>+_xlfn.XLOOKUP(B195,polaris!$B$2:$B$785,polaris!$C$2:$C$785)</f>
        <v>CRISTO REY  - AUT [12045020; AO 02; FONDO ADAPTACION]</v>
      </c>
      <c r="M195" t="b">
        <f t="shared" ref="M195:M258" si="3">+L195=C195</f>
        <v>1</v>
      </c>
    </row>
    <row r="196" spans="1:13" x14ac:dyDescent="0.25">
      <c r="A196" s="9">
        <v>195</v>
      </c>
      <c r="B196" s="9">
        <v>270</v>
      </c>
      <c r="C196" s="10" t="s">
        <v>617</v>
      </c>
      <c r="D196" t="str">
        <f>+_xlfn.XLOOKUP(B196,polaris!$B$2:$B$785,polaris!$D$2:$D$785)</f>
        <v>METEOROLÓGICA</v>
      </c>
      <c r="E196"/>
      <c r="F196" s="26">
        <v>2501500120</v>
      </c>
      <c r="G196" s="26" t="str" cm="1">
        <f t="array" ref="G196">+_xlfn.XLOOKUP(C196,Hoja1!$E$2:$E$420,Tabla1[Nombre])</f>
        <v>JUAN JOSE - AUT   [2501500120]</v>
      </c>
      <c r="H196" t="str">
        <f>+_xlfn.XLOOKUP(F196,Tabla1[Codigo],Tabla1[Nombre])</f>
        <v>JUAN JOSE - AUT   [2501500120]</v>
      </c>
      <c r="I196" t="str">
        <f>+_xlfn.XLOOKUP(F196,Hoja5!$C$2:$C$420,Hoja5!$G$2:$G$420)</f>
        <v>DESCONECTADO</v>
      </c>
      <c r="J196" t="str" cm="1">
        <f t="array" ref="J196">+_xlfn.XLOOKUP(F196,Hoja5!$C$2:$C$420,Hoja5!$H$2:H$420)</f>
        <v>INMARSAT</v>
      </c>
      <c r="L196" t="str">
        <f>+_xlfn.XLOOKUP(B196,polaris!$B$2:$B$785,polaris!$C$2:$C$785)</f>
        <v>JUAN JOSE - AUT   [2501500120; AO02; FONDO DE ADAPTACIÓN]</v>
      </c>
      <c r="M196" t="b">
        <f t="shared" si="3"/>
        <v>1</v>
      </c>
    </row>
    <row r="197" spans="1:13" x14ac:dyDescent="0.25">
      <c r="A197" s="9">
        <v>196</v>
      </c>
      <c r="B197" s="9">
        <v>271</v>
      </c>
      <c r="C197" s="10" t="s">
        <v>618</v>
      </c>
      <c r="D197" t="str">
        <f>+_xlfn.XLOOKUP(B197,polaris!$B$2:$B$785,polaris!$D$2:$D$785)</f>
        <v>METEOROLÓGICA</v>
      </c>
      <c r="E197"/>
      <c r="F197" s="26">
        <v>3518500127</v>
      </c>
      <c r="G197" s="26" t="str" cm="1">
        <f t="array" ref="G197">+_xlfn.XLOOKUP(C197,Hoja1!$E$2:$E$420,Tabla1[Nombre])</f>
        <v>GUADUALITO - AUT [3518500127]</v>
      </c>
      <c r="H197" t="str">
        <f>+_xlfn.XLOOKUP(F197,Tabla1[Codigo],Tabla1[Nombre])</f>
        <v>GUADUALITO - AUT [3518500127]</v>
      </c>
      <c r="I197" t="str">
        <f>+_xlfn.XLOOKUP(F197,Hoja5!$C$2:$C$420,Hoja5!$G$2:$G$420)</f>
        <v>EN LINEA</v>
      </c>
      <c r="J197" t="str" cm="1">
        <f t="array" ref="J197">+_xlfn.XLOOKUP(F197,Hoja5!$C$2:$C$420,Hoja5!$H$2:H$420)</f>
        <v>GOES</v>
      </c>
      <c r="L197" t="str">
        <f>+_xlfn.XLOOKUP(B197,polaris!$B$2:$B$785,polaris!$C$2:$C$785)</f>
        <v>GUADUALITO - AUT [3518500127; MET;  AO06; CAMPBELL]</v>
      </c>
      <c r="M197" t="b">
        <f t="shared" si="3"/>
        <v>1</v>
      </c>
    </row>
    <row r="198" spans="1:13" x14ac:dyDescent="0.25">
      <c r="A198" s="9">
        <v>197</v>
      </c>
      <c r="B198" s="9">
        <v>272</v>
      </c>
      <c r="C198" s="10" t="s">
        <v>619</v>
      </c>
      <c r="D198" t="str">
        <f>+_xlfn.XLOOKUP(B198,polaris!$B$2:$B$785,polaris!$D$2:$D$785)</f>
        <v>METEOROLÓGICA</v>
      </c>
      <c r="E198"/>
      <c r="F198" s="26">
        <v>1303500074</v>
      </c>
      <c r="G198" s="26" t="str" cm="1">
        <f t="array" ref="G198">+_xlfn.XLOOKUP(C198,Hoja1!$E$2:$E$420,Tabla1[Nombre])</f>
        <v>LOMA VERDE - AUT [1303500074]</v>
      </c>
      <c r="H198" t="str">
        <f>+_xlfn.XLOOKUP(F198,Tabla1[Codigo],Tabla1[Nombre])</f>
        <v>LOMA VERDE - AUT [1303500074]</v>
      </c>
      <c r="I198" t="str">
        <f>+_xlfn.XLOOKUP(F198,Hoja5!$C$2:$C$420,Hoja5!$G$2:$G$420)</f>
        <v>DESCONECTADO</v>
      </c>
      <c r="J198" t="str" cm="1">
        <f t="array" ref="J198">+_xlfn.XLOOKUP(F198,Hoja5!$C$2:$C$420,Hoja5!$H$2:H$420)</f>
        <v>INMARSAT</v>
      </c>
      <c r="L198" t="str">
        <f>+_xlfn.XLOOKUP(B198,polaris!$B$2:$B$785,polaris!$C$2:$C$785)</f>
        <v>LOMA VERDE - AUT [1303500074; AO02; FONDO ADAPTACION]</v>
      </c>
      <c r="M198" t="b">
        <f t="shared" si="3"/>
        <v>1</v>
      </c>
    </row>
    <row r="199" spans="1:13" x14ac:dyDescent="0.25">
      <c r="A199" s="9">
        <v>198</v>
      </c>
      <c r="B199" s="9">
        <v>275</v>
      </c>
      <c r="C199" s="10" t="s">
        <v>620</v>
      </c>
      <c r="D199" t="str">
        <f>+_xlfn.XLOOKUP(B199,polaris!$B$2:$B$785,polaris!$D$2:$D$785)</f>
        <v>HIDROLÓGICA</v>
      </c>
      <c r="E199"/>
      <c r="F199" s="26">
        <v>25017030</v>
      </c>
      <c r="G199" s="26" t="str" cm="1">
        <f t="array" ref="G199">+_xlfn.XLOOKUP(C199,Hoja1!$E$2:$E$420,Tabla1[Nombre])</f>
        <v>PICA PICA  - AUT [25017030]</v>
      </c>
      <c r="H199" t="str">
        <f>+_xlfn.XLOOKUP(F199,Tabla1[Codigo],Tabla1[Nombre])</f>
        <v>PICA PICA  - AUT [25017030]</v>
      </c>
      <c r="I199" t="str">
        <f>+_xlfn.XLOOKUP(F199,Hoja5!$C$2:$C$420,Hoja5!$G$2:$G$420)</f>
        <v>EN LINEA</v>
      </c>
      <c r="J199" t="str" cm="1">
        <f t="array" ref="J199">+_xlfn.XLOOKUP(F199,Hoja5!$C$2:$C$420,Hoja5!$H$2:H$420)</f>
        <v>GOES</v>
      </c>
      <c r="L199" t="str">
        <f>+_xlfn.XLOOKUP(B199,polaris!$B$2:$B$785,polaris!$C$2:$C$785)</f>
        <v>PICA PICA  - AUT [25017030; COR; HID; GOES: CB1EE5FC; AO02; FONDO ADAPTACION]</v>
      </c>
      <c r="M199" t="b">
        <f t="shared" si="3"/>
        <v>1</v>
      </c>
    </row>
    <row r="200" spans="1:13" x14ac:dyDescent="0.25">
      <c r="A200" s="9">
        <v>199</v>
      </c>
      <c r="B200" s="9">
        <v>277</v>
      </c>
      <c r="C200" s="10" t="s">
        <v>621</v>
      </c>
      <c r="D200" t="str">
        <f>+_xlfn.XLOOKUP(B200,polaris!$B$2:$B$785,polaris!$D$2:$D$785)</f>
        <v>HIDROLÓGICA</v>
      </c>
      <c r="E200"/>
      <c r="F200" s="26">
        <v>2502700153</v>
      </c>
      <c r="G200" s="26" t="str" cm="1">
        <f t="array" ref="G200">+_xlfn.XLOOKUP(C200,Hoja1!$E$2:$E$420,Tabla1[Nombre])</f>
        <v>PLANTA ECOPETROL - AUT   [2502700153]</v>
      </c>
      <c r="H200" t="str">
        <f>+_xlfn.XLOOKUP(F200,Tabla1[Codigo],Tabla1[Nombre])</f>
        <v>PLANTA ECOPETROL - AUT   [2502700153]</v>
      </c>
      <c r="I200" t="str">
        <f>+_xlfn.XLOOKUP(F200,Hoja5!$C$2:$C$420,Hoja5!$G$2:$G$420)</f>
        <v>DESCONECTADO</v>
      </c>
      <c r="J200" t="str" cm="1">
        <f t="array" ref="J200">+_xlfn.XLOOKUP(F200,Hoja5!$C$2:$C$420,Hoja5!$H$2:H$420)</f>
        <v>INMARSAT</v>
      </c>
      <c r="L200" t="str">
        <f>+_xlfn.XLOOKUP(B200,polaris!$B$2:$B$785,polaris!$C$2:$C$785)</f>
        <v>PLANTA ECOPETROL - AUT   [2502700153; AO02;  ]  SINIESTRO: BRAZO+NIVEL+BATERIA</v>
      </c>
      <c r="M200" t="b">
        <f t="shared" si="3"/>
        <v>1</v>
      </c>
    </row>
    <row r="201" spans="1:13" x14ac:dyDescent="0.25">
      <c r="A201" s="9">
        <v>200</v>
      </c>
      <c r="B201" s="9">
        <v>278</v>
      </c>
      <c r="C201" s="10" t="s">
        <v>622</v>
      </c>
      <c r="D201" t="str">
        <f>+_xlfn.XLOOKUP(B201,polaris!$B$2:$B$785,polaris!$D$2:$D$785)</f>
        <v>HIDROLÓGICA</v>
      </c>
      <c r="E201"/>
      <c r="F201" s="26">
        <v>44017070</v>
      </c>
      <c r="G201" s="26" t="str" cm="1">
        <f t="array" ref="G201">+_xlfn.XLOOKUP(C201,Hoja1!$E$2:$E$420,Tabla1[Nombre])</f>
        <v>SANTA ROSA  - AUT [44017070]</v>
      </c>
      <c r="H201" t="str">
        <f>+_xlfn.XLOOKUP(F201,Tabla1[Codigo],Tabla1[Nombre])</f>
        <v>SANTA ROSA  - AUT [44017070]</v>
      </c>
      <c r="I201" t="str">
        <f>+_xlfn.XLOOKUP(F201,Hoja5!$C$2:$C$420,Hoja5!$G$2:$G$420)</f>
        <v>DESCONECTADO</v>
      </c>
      <c r="J201" t="str" cm="1">
        <f t="array" ref="J201">+_xlfn.XLOOKUP(F201,Hoja5!$C$2:$C$420,Hoja5!$H$2:H$420)</f>
        <v>INMARSAT</v>
      </c>
      <c r="L201" t="str">
        <f>+_xlfn.XLOOKUP(B201,polaris!$B$2:$B$785,polaris!$C$2:$C$785)</f>
        <v>SANTA ROSA  - AUT [44017070; CAU; HID; INMARSAT; AO07; FONDO ADAPTACION]</v>
      </c>
      <c r="M201" t="b">
        <f t="shared" si="3"/>
        <v>1</v>
      </c>
    </row>
    <row r="202" spans="1:13" x14ac:dyDescent="0.25">
      <c r="A202" s="9">
        <v>201</v>
      </c>
      <c r="B202" s="9">
        <v>279</v>
      </c>
      <c r="C202" s="10" t="s">
        <v>623</v>
      </c>
      <c r="D202" t="str">
        <f>+_xlfn.XLOOKUP(B202,polaris!$B$2:$B$785,polaris!$D$2:$D$785)</f>
        <v>HIDROLÓGICA</v>
      </c>
      <c r="E202"/>
      <c r="F202" s="26">
        <v>35027140</v>
      </c>
      <c r="G202" s="26" t="str" cm="1">
        <f t="array" ref="G202">+_xlfn.XLOOKUP(C202,Hoja1!$E$2:$E$420,Tabla1[Nombre])</f>
        <v>PUENTE CARRETERA  - AUT [35027140]</v>
      </c>
      <c r="H202" t="str">
        <f>+_xlfn.XLOOKUP(F202,Tabla1[Codigo],Tabla1[Nombre])</f>
        <v>PUENTE CARRETERA  - AUT [35027140]</v>
      </c>
      <c r="I202" t="str">
        <f>+_xlfn.XLOOKUP(F202,Hoja5!$C$2:$C$420,Hoja5!$G$2:$G$420)</f>
        <v>EN LINEA</v>
      </c>
      <c r="J202" t="str" cm="1">
        <f t="array" ref="J202">+_xlfn.XLOOKUP(F202,Hoja5!$C$2:$C$420,Hoja5!$H$2:H$420)</f>
        <v>GPRS</v>
      </c>
      <c r="L202" t="str">
        <f>+_xlfn.XLOOKUP(B202,polaris!$B$2:$B$785,polaris!$C$2:$C$785)</f>
        <v>PUENTE CARRETERA - AUT [35027140;AO 03;FONDO ADAPTACION]</v>
      </c>
      <c r="M202" t="b">
        <f t="shared" si="3"/>
        <v>1</v>
      </c>
    </row>
    <row r="203" spans="1:13" x14ac:dyDescent="0.25">
      <c r="A203" s="9">
        <v>202</v>
      </c>
      <c r="B203" s="9">
        <v>280</v>
      </c>
      <c r="C203" s="10" t="s">
        <v>624</v>
      </c>
      <c r="D203" t="str">
        <f>+_xlfn.XLOOKUP(B203,polaris!$B$2:$B$785,polaris!$D$2:$D$785)</f>
        <v>HIDROLÓGICA</v>
      </c>
      <c r="E203"/>
      <c r="F203" s="26">
        <v>3502700090</v>
      </c>
      <c r="G203" s="26" t="str" cm="1">
        <f t="array" ref="G203">+_xlfn.XLOOKUP(C203,Hoja1!$E$2:$E$420,Tabla1[Nombre])</f>
        <v>GUAYURIBA - AUT   [3502700090]</v>
      </c>
      <c r="H203" t="str">
        <f>+_xlfn.XLOOKUP(F203,Tabla1[Codigo],Tabla1[Nombre])</f>
        <v>GUAYURIBA - AUT   [3502700090]</v>
      </c>
      <c r="I203" t="str">
        <f>+_xlfn.XLOOKUP(F203,Hoja5!$C$2:$C$420,Hoja5!$G$2:$G$420)</f>
        <v>EN LINEA</v>
      </c>
      <c r="J203" t="str" cm="1">
        <f t="array" ref="J203">+_xlfn.XLOOKUP(F203,Hoja5!$C$2:$C$420,Hoja5!$H$2:H$420)</f>
        <v>GPRS</v>
      </c>
      <c r="L203" t="str">
        <f>+_xlfn.XLOOKUP(B203,polaris!$B$2:$B$785,polaris!$C$2:$C$785)</f>
        <v>GUAYURIBA - AUT [3502700090;AO 03;FONDO ADAPTACION]</v>
      </c>
      <c r="M203" t="b">
        <f t="shared" si="3"/>
        <v>1</v>
      </c>
    </row>
    <row r="204" spans="1:13" x14ac:dyDescent="0.25">
      <c r="A204" s="9">
        <v>203</v>
      </c>
      <c r="B204" s="9">
        <v>282</v>
      </c>
      <c r="C204" s="10" t="s">
        <v>625</v>
      </c>
      <c r="D204" t="str">
        <f>+_xlfn.XLOOKUP(B204,polaris!$B$2:$B$785,polaris!$D$2:$D$785)</f>
        <v>METEOROLÓGICA</v>
      </c>
      <c r="E204"/>
      <c r="F204" s="26">
        <v>3503500062</v>
      </c>
      <c r="G204" s="26" t="str" cm="1">
        <f t="array" ref="G204">+_xlfn.XLOOKUP(C204,Hoja1!$E$2:$E$420,Tabla1[Nombre])</f>
        <v>EL CALVARIO - AUT [3503500062]</v>
      </c>
      <c r="H204" t="str">
        <f>+_xlfn.XLOOKUP(F204,Tabla1[Codigo],Tabla1[Nombre])</f>
        <v>EL CALVARIO - AUT [3503500062]</v>
      </c>
      <c r="I204" t="str">
        <f>+_xlfn.XLOOKUP(F204,Hoja5!$C$2:$C$420,Hoja5!$G$2:$G$420)</f>
        <v>DESCONECTADO</v>
      </c>
      <c r="J204" t="str" cm="1">
        <f t="array" ref="J204">+_xlfn.XLOOKUP(F204,Hoja5!$C$2:$C$420,Hoja5!$H$2:H$420)</f>
        <v>INMARSAT</v>
      </c>
      <c r="L204" t="str">
        <f>+_xlfn.XLOOKUP(B204,polaris!$B$2:$B$785,polaris!$C$2:$C$785)</f>
        <v>EL CALVARIO - AUT [3503500062;AO 03;FONDO ADAPTACION]</v>
      </c>
      <c r="M204" t="b">
        <f t="shared" si="3"/>
        <v>1</v>
      </c>
    </row>
    <row r="205" spans="1:13" x14ac:dyDescent="0.25">
      <c r="A205" s="9">
        <v>204</v>
      </c>
      <c r="B205" s="9">
        <v>283</v>
      </c>
      <c r="C205" s="95" t="s">
        <v>626</v>
      </c>
      <c r="D205" t="str">
        <f>+_xlfn.XLOOKUP(B205,polaris!$B$2:$B$785,polaris!$D$2:$D$785)</f>
        <v>HIDROLÓGICA</v>
      </c>
      <c r="E205"/>
      <c r="F205" s="26">
        <v>2105700099</v>
      </c>
      <c r="G205" s="26" t="str" cm="1">
        <f t="array" ref="G205">+_xlfn.XLOOKUP(C205,Hoja1!$E$2:$E$420,Tabla1[Nombre])</f>
        <v>PUENTE COHETANDO - AUT   [2105700099]</v>
      </c>
      <c r="H205" t="str">
        <f>+_xlfn.XLOOKUP(F205,Tabla1[Codigo],Tabla1[Nombre])</f>
        <v>PUENTE COHETANDO - AUT   [2105700099]</v>
      </c>
      <c r="I205" t="str">
        <f>+_xlfn.XLOOKUP(F205,Hoja5!$C$2:$C$420,Hoja5!$G$2:$G$420)</f>
        <v>OFFLINE MANUAL</v>
      </c>
      <c r="J205" t="str" cm="1">
        <f t="array" ref="J205">+_xlfn.XLOOKUP(F205,Hoja5!$C$2:$C$420,Hoja5!$H$2:H$420)</f>
        <v>ORDEN PÚBLICO</v>
      </c>
      <c r="L205" t="str">
        <f>+_xlfn.XLOOKUP(B205,polaris!$B$2:$B$785,polaris!$C$2:$C$785)</f>
        <v>PUENTE COHETANDO - AUT   [2105700099;CAU;HID;LM;N;AO04; H8; JISOLANO; 55-5; IPWD; R24;FNCM; ; ]</v>
      </c>
      <c r="M205" t="b">
        <f t="shared" si="3"/>
        <v>1</v>
      </c>
    </row>
    <row r="206" spans="1:13" x14ac:dyDescent="0.25">
      <c r="A206" s="9">
        <v>205</v>
      </c>
      <c r="B206" s="9">
        <v>284</v>
      </c>
      <c r="C206" s="10" t="s">
        <v>627</v>
      </c>
      <c r="D206" t="str">
        <f>+_xlfn.XLOOKUP(B206,polaris!$B$2:$B$785,polaris!$D$2:$D$785)</f>
        <v>HIDROLÓGICA</v>
      </c>
      <c r="E206"/>
      <c r="F206" s="26">
        <v>21057060</v>
      </c>
      <c r="G206" s="26" t="str" cm="1">
        <f t="array" ref="G206">+_xlfn.XLOOKUP(C206,Hoja1!$E$2:$E$420,Tabla1[Nombre])</f>
        <v>PAICOL - AUT [21057060]</v>
      </c>
      <c r="H206" t="str">
        <f>+_xlfn.XLOOKUP(F206,Tabla1[Codigo],Tabla1[Nombre])</f>
        <v>PAICOL - AUT [21057060]</v>
      </c>
      <c r="I206" t="str">
        <f>+_xlfn.XLOOKUP(F206,Hoja5!$C$2:$C$420,Hoja5!$G$2:$G$420)</f>
        <v>DESCONECTADO</v>
      </c>
      <c r="J206" t="str" cm="1">
        <f t="array" ref="J206">+_xlfn.XLOOKUP(F206,Hoja5!$C$2:$C$420,Hoja5!$H$2:H$420)</f>
        <v>GPRS</v>
      </c>
      <c r="L206" t="str">
        <f>+_xlfn.XLOOKUP(B206,polaris!$B$2:$B$785,polaris!$C$2:$C$785)</f>
        <v>PAICOL - AUT [21057060; AO 04; HID; GPRS; FONDO ADAPTACION]</v>
      </c>
      <c r="M206" t="b">
        <f t="shared" si="3"/>
        <v>1</v>
      </c>
    </row>
    <row r="207" spans="1:13" x14ac:dyDescent="0.25">
      <c r="A207" s="9">
        <v>206</v>
      </c>
      <c r="B207" s="9">
        <v>288</v>
      </c>
      <c r="C207" s="10" t="s">
        <v>628</v>
      </c>
      <c r="D207" t="str">
        <f>+_xlfn.XLOOKUP(B207,polaris!$B$2:$B$785,polaris!$D$2:$D$785)</f>
        <v>HIDROLÓGICA</v>
      </c>
      <c r="E207"/>
      <c r="F207" s="26">
        <v>21127030</v>
      </c>
      <c r="G207" s="26" t="str" cm="1">
        <f t="array" ref="G207">+_xlfn.XLOOKUP(C207,Hoja1!$E$2:$E$420,Tabla1[Nombre])</f>
        <v>SANTA MARIA  - AUT [21127030]</v>
      </c>
      <c r="H207" t="str">
        <f>+_xlfn.XLOOKUP(F207,Tabla1[Codigo],Tabla1[Nombre])</f>
        <v>SANTA MARIA  - AUT [21127030]</v>
      </c>
      <c r="I207" t="str">
        <f>+_xlfn.XLOOKUP(F207,Hoja5!$C$2:$C$420,Hoja5!$G$2:$G$420)</f>
        <v>EN LINEA</v>
      </c>
      <c r="J207" t="str" cm="1">
        <f t="array" ref="J207">+_xlfn.XLOOKUP(F207,Hoja5!$C$2:$C$420,Hoja5!$H$2:H$420)</f>
        <v>GPRS</v>
      </c>
      <c r="L207" t="str">
        <f>+_xlfn.XLOOKUP(B207,polaris!$B$2:$B$785,polaris!$C$2:$C$785)</f>
        <v>SANTA MARIA  - AUT [21127030; AO 04; HID; GPRS; FONDO ADAPTACION]</v>
      </c>
      <c r="M207" t="b">
        <f t="shared" si="3"/>
        <v>1</v>
      </c>
    </row>
    <row r="208" spans="1:13" x14ac:dyDescent="0.25">
      <c r="A208" s="9">
        <v>207</v>
      </c>
      <c r="B208" s="9">
        <v>289</v>
      </c>
      <c r="C208" s="10" t="s">
        <v>629</v>
      </c>
      <c r="D208" t="str">
        <f>+_xlfn.XLOOKUP(B208,polaris!$B$2:$B$785,polaris!$D$2:$D$785)</f>
        <v>HIDROLÓGICA</v>
      </c>
      <c r="E208"/>
      <c r="F208" s="26">
        <v>21017030</v>
      </c>
      <c r="G208" s="26" t="str" cm="1">
        <f t="array" ref="G208">+_xlfn.XLOOKUP(C208,Hoja1!$E$2:$E$420,Tabla1[Nombre])</f>
        <v>CASCADA SIMON BOLIVAR  - AUT [21017030]</v>
      </c>
      <c r="H208" t="str">
        <f>+_xlfn.XLOOKUP(F208,Tabla1[Codigo],Tabla1[Nombre])</f>
        <v>CASCADA SIMON BOLIVAR  - AUT [21017030]</v>
      </c>
      <c r="I208" t="str">
        <f>+_xlfn.XLOOKUP(F208,Hoja5!$C$2:$C$420,Hoja5!$G$2:$G$420)</f>
        <v>EN LINEA</v>
      </c>
      <c r="J208" t="str" cm="1">
        <f t="array" ref="J208">+_xlfn.XLOOKUP(F208,Hoja5!$C$2:$C$420,Hoja5!$H$2:H$420)</f>
        <v>GPRS</v>
      </c>
      <c r="L208" t="str">
        <f>+_xlfn.XLOOKUP(B208,polaris!$B$2:$B$785,polaris!$C$2:$C$785)</f>
        <v>CASCADA SIMON BOLIVAR  - AUT [21017030; AO 04; HID; GPRS; FONDO ADAPTACION]</v>
      </c>
      <c r="M208" t="b">
        <f t="shared" si="3"/>
        <v>1</v>
      </c>
    </row>
    <row r="209" spans="1:13" x14ac:dyDescent="0.25">
      <c r="A209" s="9">
        <v>208</v>
      </c>
      <c r="B209" s="9">
        <v>291</v>
      </c>
      <c r="C209" s="10" t="s">
        <v>630</v>
      </c>
      <c r="D209" t="str">
        <f>+_xlfn.XLOOKUP(B209,polaris!$B$2:$B$785,polaris!$D$2:$D$785)</f>
        <v>HIDROLÓGICA</v>
      </c>
      <c r="E209"/>
      <c r="F209" s="26">
        <v>4403700097</v>
      </c>
      <c r="G209" s="26" t="str" cm="1">
        <f t="array" ref="G209">+_xlfn.XLOOKUP(C209,Hoja1!$E$2:$E$420,Tabla1[Nombre])</f>
        <v>SUCRE - AUT   [4403700097]</v>
      </c>
      <c r="H209" t="str">
        <f>+_xlfn.XLOOKUP(F209,Tabla1[Codigo],Tabla1[Nombre])</f>
        <v>SUCRE - AUT   [4403700097]</v>
      </c>
      <c r="I209" t="str">
        <f>+_xlfn.XLOOKUP(F209,Hoja5!$C$2:$C$420,Hoja5!$G$2:$G$420)</f>
        <v>EN LINEA</v>
      </c>
      <c r="J209" t="str" cm="1">
        <f t="array" ref="J209">+_xlfn.XLOOKUP(F209,Hoja5!$C$2:$C$420,Hoja5!$H$2:H$420)</f>
        <v>GOES</v>
      </c>
      <c r="L209" t="str">
        <f>+_xlfn.XLOOKUP(B209,polaris!$B$2:$B$785,polaris!$C$2:$C$785)</f>
        <v>SUCRE - AUT   [4403700097; CAQ; HID; GOES: CB10C9AA; AO04; FONDO ADAPTACION]</v>
      </c>
      <c r="M209" t="b">
        <f t="shared" si="3"/>
        <v>1</v>
      </c>
    </row>
    <row r="210" spans="1:13" x14ac:dyDescent="0.25">
      <c r="A210" s="9">
        <v>209</v>
      </c>
      <c r="B210" s="9">
        <v>292</v>
      </c>
      <c r="C210" s="10" t="s">
        <v>631</v>
      </c>
      <c r="D210" t="str">
        <f>+_xlfn.XLOOKUP(B210,polaris!$B$2:$B$785,polaris!$D$2:$D$785)</f>
        <v>HIDROLÓGICA</v>
      </c>
      <c r="E210"/>
      <c r="F210" s="26">
        <v>24017600</v>
      </c>
      <c r="G210" s="26" t="str" cm="1">
        <f t="array" ref="G210">+_xlfn.XLOOKUP(C210,Hoja1!$E$2:$E$420,Tabla1[Nombre])</f>
        <v>MONIQUIRA  - AUT [24017600]</v>
      </c>
      <c r="H210" t="str">
        <f>+_xlfn.XLOOKUP(F210,Tabla1[Codigo],Tabla1[Nombre])</f>
        <v>MONIQUIRA  - AUT [24017600]</v>
      </c>
      <c r="I210" t="str">
        <f>+_xlfn.XLOOKUP(F210,Hoja5!$C$2:$C$420,Hoja5!$G$2:$G$420)</f>
        <v>EN LINEA</v>
      </c>
      <c r="J210" t="str" cm="1">
        <f t="array" ref="J210">+_xlfn.XLOOKUP(F210,Hoja5!$C$2:$C$420,Hoja5!$H$2:H$420)</f>
        <v>GPRS</v>
      </c>
      <c r="L210" t="str">
        <f>+_xlfn.XLOOKUP(B210,polaris!$B$2:$B$785,polaris!$C$2:$C$785)</f>
        <v>MONIQUIRA  - AUT [24017600; AO 06; HID; GPRS; FONDO ADAPTACION]</v>
      </c>
      <c r="M210" t="b">
        <f t="shared" si="3"/>
        <v>1</v>
      </c>
    </row>
    <row r="211" spans="1:13" x14ac:dyDescent="0.25">
      <c r="A211" s="9">
        <v>210</v>
      </c>
      <c r="B211" s="9">
        <v>293</v>
      </c>
      <c r="C211" s="10" t="s">
        <v>632</v>
      </c>
      <c r="D211" t="str">
        <f>+_xlfn.XLOOKUP(B211,polaris!$B$2:$B$785,polaris!$D$2:$D$785)</f>
        <v>METEOROLÓGICA</v>
      </c>
      <c r="E211"/>
      <c r="F211" s="26">
        <v>46035010</v>
      </c>
      <c r="G211" s="26" t="str" cm="1">
        <f t="array" ref="G211">+_xlfn.XLOOKUP(C211,Hoja1!$E$2:$E$420,Tabla1[Nombre])</f>
        <v>MAGUARE - AUT [46035010]</v>
      </c>
      <c r="H211" t="str">
        <f>+_xlfn.XLOOKUP(F211,Tabla1[Codigo],Tabla1[Nombre])</f>
        <v>MAGUARE - AUT [46035010]</v>
      </c>
      <c r="I211" t="str">
        <f>+_xlfn.XLOOKUP(F211,Hoja5!$C$2:$C$420,Hoja5!$G$2:$G$420)</f>
        <v>DESCONECTADO</v>
      </c>
      <c r="J211" t="str" cm="1">
        <f t="array" ref="J211">+_xlfn.XLOOKUP(F211,Hoja5!$C$2:$C$420,Hoja5!$H$2:H$420)</f>
        <v>INMARSAT</v>
      </c>
      <c r="L211" t="str">
        <f>+_xlfn.XLOOKUP(B211,polaris!$B$2:$B$785,polaris!$C$2:$C$785)</f>
        <v>MAGUARE - AUT [46035010; CAQ; MET; INMARSAT; AO04; FONDO ADAPTACIÓN]</v>
      </c>
      <c r="M211" t="b">
        <f t="shared" si="3"/>
        <v>1</v>
      </c>
    </row>
    <row r="212" spans="1:13" x14ac:dyDescent="0.25">
      <c r="A212" s="9">
        <v>211</v>
      </c>
      <c r="B212" s="9">
        <v>294</v>
      </c>
      <c r="C212" s="10" t="s">
        <v>633</v>
      </c>
      <c r="D212" t="str">
        <f>+_xlfn.XLOOKUP(B212,polaris!$B$2:$B$785,polaris!$D$2:$D$785)</f>
        <v>HIDROLÓGICA</v>
      </c>
      <c r="E212"/>
      <c r="F212" s="26">
        <v>21097120</v>
      </c>
      <c r="G212" s="26" t="str" cm="1">
        <f t="array" ref="G212">+_xlfn.XLOOKUP(C212,Hoja1!$E$2:$E$420,Tabla1[Nombre])</f>
        <v>LA ESPERANZA - AUT [21097120]</v>
      </c>
      <c r="H212" t="str">
        <f>+_xlfn.XLOOKUP(F212,Tabla1[Codigo],Tabla1[Nombre])</f>
        <v>LA ESPERANZA - AUT [21097120]</v>
      </c>
      <c r="I212" t="str">
        <f>+_xlfn.XLOOKUP(F212,Hoja5!$C$2:$C$420,Hoja5!$G$2:$G$420)</f>
        <v>DESCONECTADO</v>
      </c>
      <c r="J212" t="str" cm="1">
        <f t="array" ref="J212">+_xlfn.XLOOKUP(F212,Hoja5!$C$2:$C$420,Hoja5!$H$2:H$420)</f>
        <v>GPRS</v>
      </c>
      <c r="L212" t="str">
        <f>+_xlfn.XLOOKUP(B212,polaris!$B$2:$B$785,polaris!$C$2:$C$785)</f>
        <v>LA ESPERANZA - AUT [21097120; AO 04; HID; GPRS; FONDO ADAPTACION]</v>
      </c>
      <c r="M212" t="b">
        <f t="shared" si="3"/>
        <v>1</v>
      </c>
    </row>
    <row r="213" spans="1:13" x14ac:dyDescent="0.25">
      <c r="A213" s="9">
        <v>212</v>
      </c>
      <c r="B213" s="9">
        <v>295</v>
      </c>
      <c r="C213" s="10" t="s">
        <v>634</v>
      </c>
      <c r="D213" t="str">
        <f>+_xlfn.XLOOKUP(B213,polaris!$B$2:$B$785,polaris!$D$2:$D$785)</f>
        <v>METEOROLÓGICA</v>
      </c>
      <c r="E213"/>
      <c r="F213" s="26">
        <v>21145080</v>
      </c>
      <c r="G213" s="26" t="str" cm="1">
        <f t="array" ref="G213">+_xlfn.XLOOKUP(C213,Hoja1!$E$2:$E$420,Tabla1[Nombre])</f>
        <v>SANTA ANA - AUT [21145080]</v>
      </c>
      <c r="H213" t="str">
        <f>+_xlfn.XLOOKUP(F213,Tabla1[Codigo],Tabla1[Nombre])</f>
        <v>SANTA ANA - AUT [21145080]</v>
      </c>
      <c r="I213" t="str">
        <f>+_xlfn.XLOOKUP(F213,Hoja5!$C$2:$C$420,Hoja5!$G$2:$G$420)</f>
        <v>EN LINEA</v>
      </c>
      <c r="J213" t="str" cm="1">
        <f t="array" ref="J213">+_xlfn.XLOOKUP(F213,Hoja5!$C$2:$C$420,Hoja5!$H$2:H$420)</f>
        <v>GPRS</v>
      </c>
      <c r="L213" t="str">
        <f>+_xlfn.XLOOKUP(B213,polaris!$B$2:$B$785,polaris!$C$2:$C$785)</f>
        <v>SANTA ANA - AUT [21145080; AO 04; MET; GPRS; FONDO ADAPTACION]</v>
      </c>
      <c r="M213" t="b">
        <f t="shared" si="3"/>
        <v>1</v>
      </c>
    </row>
    <row r="214" spans="1:13" x14ac:dyDescent="0.25">
      <c r="A214" s="9">
        <v>213</v>
      </c>
      <c r="B214" s="9">
        <v>296</v>
      </c>
      <c r="C214" s="10" t="s">
        <v>635</v>
      </c>
      <c r="D214" t="str">
        <f>+_xlfn.XLOOKUP(B214,polaris!$B$2:$B$785,polaris!$D$2:$D$785)</f>
        <v>METEOROLÓGICA</v>
      </c>
      <c r="E214"/>
      <c r="F214" s="26">
        <v>2805500075</v>
      </c>
      <c r="G214" s="26" t="str" cm="1">
        <f t="array" ref="G214">+_xlfn.XLOOKUP(C214,Hoja1!$E$2:$E$420,Tabla1[Nombre])</f>
        <v>CURUMANÍ - AUT [2805500075]</v>
      </c>
      <c r="H214" t="str">
        <f>+_xlfn.XLOOKUP(F214,Tabla1[Codigo],Tabla1[Nombre])</f>
        <v>CURUMANÍ - AUT [2805500075]</v>
      </c>
      <c r="I214" t="str">
        <f>+_xlfn.XLOOKUP(F214,Hoja5!$C$2:$C$420,Hoja5!$G$2:$G$420)</f>
        <v>EN LINEA</v>
      </c>
      <c r="J214" t="str" cm="1">
        <f t="array" ref="J214">+_xlfn.XLOOKUP(F214,Hoja5!$C$2:$C$420,Hoja5!$H$2:H$420)</f>
        <v>GPRS</v>
      </c>
      <c r="L214" t="str">
        <f>+_xlfn.XLOOKUP(B214,polaris!$B$2:$B$785,polaris!$C$2:$C$785)</f>
        <v>CURUMANÍ - AUT [2805500075; AO 05; MET; GPRS; FONDO ADAPTACION]</v>
      </c>
      <c r="M214" t="b">
        <f t="shared" si="3"/>
        <v>1</v>
      </c>
    </row>
    <row r="215" spans="1:13" x14ac:dyDescent="0.25">
      <c r="A215" s="9">
        <v>214</v>
      </c>
      <c r="B215" s="9">
        <v>300</v>
      </c>
      <c r="C215" s="10" t="s">
        <v>636</v>
      </c>
      <c r="D215" t="str">
        <f>+_xlfn.XLOOKUP(B215,polaris!$B$2:$B$785,polaris!$D$2:$D$785)</f>
        <v>METEOROLÓGICA</v>
      </c>
      <c r="E215"/>
      <c r="F215" s="26">
        <v>15015060</v>
      </c>
      <c r="G215" s="26" t="str" cm="1">
        <f t="array" ref="G215">+_xlfn.XLOOKUP(C215,Hoja1!$E$2:$E$420,Tabla1[Nombre])</f>
        <v>SAN LORENZO  - AUT [15015060]</v>
      </c>
      <c r="H215" t="str">
        <f>+_xlfn.XLOOKUP(F215,Tabla1[Codigo],Tabla1[Nombre])</f>
        <v>SAN LORENZO  - AUT [15015060]</v>
      </c>
      <c r="I215" t="str">
        <f>+_xlfn.XLOOKUP(F215,Hoja5!$C$2:$C$420,Hoja5!$G$2:$G$420)</f>
        <v>DESCONECTADO</v>
      </c>
      <c r="J215" t="str" cm="1">
        <f t="array" ref="J215">+_xlfn.XLOOKUP(F215,Hoja5!$C$2:$C$420,Hoja5!$H$2:H$420)</f>
        <v>INMARSAT</v>
      </c>
      <c r="L215" t="str">
        <f>+_xlfn.XLOOKUP(B215,polaris!$B$2:$B$785,polaris!$C$2:$C$785)</f>
        <v>SAN LORENZO  - AUT [15015060; AO05; FONDO ADAPTACION]</v>
      </c>
      <c r="M215" t="b">
        <f t="shared" si="3"/>
        <v>1</v>
      </c>
    </row>
    <row r="216" spans="1:13" x14ac:dyDescent="0.25">
      <c r="A216" s="9">
        <v>215</v>
      </c>
      <c r="B216" s="9">
        <v>302</v>
      </c>
      <c r="C216" s="10" t="s">
        <v>637</v>
      </c>
      <c r="D216" t="str">
        <f>+_xlfn.XLOOKUP(B216,polaris!$B$2:$B$785,polaris!$D$2:$D$785)</f>
        <v>HIDROLÓGICA</v>
      </c>
      <c r="E216"/>
      <c r="F216" s="26">
        <v>1501700160</v>
      </c>
      <c r="G216" s="26" t="str" cm="1">
        <f t="array" ref="G216">+_xlfn.XLOOKUP(C216,Hoja1!$E$2:$E$420,Tabla1[Nombre])</f>
        <v>RIO MANZANARES ALERTAS - AUT   [1501700160]</v>
      </c>
      <c r="H216" t="str">
        <f>+_xlfn.XLOOKUP(F216,Tabla1[Codigo],Tabla1[Nombre])</f>
        <v>RIO MANZANARES ALERTAS - AUT   [1501700160]</v>
      </c>
      <c r="I216" t="str">
        <f>+_xlfn.XLOOKUP(F216,Hoja5!$C$2:$C$420,Hoja5!$G$2:$G$420)</f>
        <v>DESCONECTADO</v>
      </c>
      <c r="J216" t="str" cm="1">
        <f t="array" ref="J216">+_xlfn.XLOOKUP(F216,Hoja5!$C$2:$C$420,Hoja5!$H$2:H$420)</f>
        <v>INMARSAT</v>
      </c>
      <c r="L216" t="str">
        <f>+_xlfn.XLOOKUP(B216,polaris!$B$2:$B$785,polaris!$C$2:$C$785)</f>
        <v>RIO MANZANARES ALERTAS - AUT   [1501700160; MAG; HID; LG; N; AO05; H10; JSOLANO; 50-05; IPWD; R24; ; ; ]</v>
      </c>
      <c r="M216" t="b">
        <f t="shared" si="3"/>
        <v>1</v>
      </c>
    </row>
    <row r="217" spans="1:13" x14ac:dyDescent="0.25">
      <c r="A217" s="9">
        <v>216</v>
      </c>
      <c r="B217" s="9">
        <v>304</v>
      </c>
      <c r="C217" s="10" t="s">
        <v>638</v>
      </c>
      <c r="D217" t="str">
        <f>+_xlfn.XLOOKUP(B217,polaris!$B$2:$B$785,polaris!$D$2:$D$785)</f>
        <v>HIDROLÓGICA</v>
      </c>
      <c r="E217"/>
      <c r="F217" s="26">
        <v>27027060</v>
      </c>
      <c r="G217" s="26" t="str" cm="1">
        <f t="array" ref="G217">+_xlfn.XLOOKUP(C217,Hoja1!$E$2:$E$420,Tabla1[Nombre])</f>
        <v>BRISAS DEL NECHI  - AUT [27027060]</v>
      </c>
      <c r="H217" t="str">
        <f>+_xlfn.XLOOKUP(F217,Tabla1[Codigo],Tabla1[Nombre])</f>
        <v>BRISAS DEL NECHI  - AUT [27027060]</v>
      </c>
      <c r="I217" t="str">
        <f>+_xlfn.XLOOKUP(F217,Hoja5!$C$2:$C$420,Hoja5!$G$2:$G$420)</f>
        <v>EN LINEA</v>
      </c>
      <c r="J217" t="str" cm="1">
        <f t="array" ref="J217">+_xlfn.XLOOKUP(F217,Hoja5!$C$2:$C$420,Hoja5!$H$2:H$420)</f>
        <v>GPRS</v>
      </c>
      <c r="L217" t="str">
        <f>+_xlfn.XLOOKUP(B217,polaris!$B$2:$B$785,polaris!$C$2:$C$785)</f>
        <v>BRISAS DEL NECHI [27027060;AO 01;FONDO ADAPTACION]</v>
      </c>
      <c r="M217" t="b">
        <f t="shared" si="3"/>
        <v>1</v>
      </c>
    </row>
    <row r="218" spans="1:13" x14ac:dyDescent="0.25">
      <c r="A218" s="9">
        <v>217</v>
      </c>
      <c r="B218" s="9">
        <v>308</v>
      </c>
      <c r="C218" s="94" t="s">
        <v>639</v>
      </c>
      <c r="D218" t="str">
        <f>+_xlfn.XLOOKUP(B218,polaris!$B$2:$B$785,polaris!$D$2:$D$785)</f>
        <v>HIDROLÓGICA</v>
      </c>
      <c r="E218"/>
      <c r="F218" s="92">
        <v>2801700088</v>
      </c>
      <c r="G218" s="26" t="e" cm="1">
        <f t="array" ref="G218">+_xlfn.XLOOKUP(C218,Hoja1!$E$2:$E$420,Tabla1[Nombre])</f>
        <v>#N/A</v>
      </c>
      <c r="H218" t="str">
        <f>+_xlfn.XLOOKUP(F218,Tabla1[Codigo],Tabla1[Nombre])</f>
        <v>CHEMESQUEMENA - AUT   [2801700088]</v>
      </c>
      <c r="I218" t="str">
        <f>+_xlfn.XLOOKUP(F218,Hoja5!$C$2:$C$420,Hoja5!$G$2:$G$420)</f>
        <v>EN LINEA</v>
      </c>
      <c r="J218" t="str" cm="1">
        <f t="array" ref="J218">+_xlfn.XLOOKUP(F218,Hoja5!$C$2:$C$420,Hoja5!$H$2:H$420)</f>
        <v>GPRS</v>
      </c>
      <c r="L218" t="str">
        <f>+_xlfn.XLOOKUP(B218,polaris!$B$2:$B$785,polaris!$C$2:$C$785)</f>
        <v>CHEMESQUEMENA - AUT [28017150; AO05; FONDO ADAPTACION]</v>
      </c>
      <c r="M218" t="b">
        <f t="shared" si="3"/>
        <v>1</v>
      </c>
    </row>
    <row r="219" spans="1:13" x14ac:dyDescent="0.25">
      <c r="A219" s="9">
        <v>218</v>
      </c>
      <c r="B219" s="9">
        <v>310</v>
      </c>
      <c r="C219" s="10" t="s">
        <v>640</v>
      </c>
      <c r="D219" t="str">
        <f>+_xlfn.XLOOKUP(B219,polaris!$B$2:$B$785,polaris!$D$2:$D$785)</f>
        <v>METEOROLÓGICA</v>
      </c>
      <c r="E219"/>
      <c r="F219" s="26">
        <v>2906500077</v>
      </c>
      <c r="G219" s="26" t="str" cm="1">
        <f t="array" ref="G219">+_xlfn.XLOOKUP(C219,Hoja1!$E$2:$E$420,Tabla1[Nombre])</f>
        <v>PALMOR - SIERRA NEVADA - AUT [2906500077]</v>
      </c>
      <c r="H219" t="str">
        <f>+_xlfn.XLOOKUP(F219,Tabla1[Codigo],Tabla1[Nombre])</f>
        <v>PALMOR - SIERRA NEVADA - AUT [2906500077]</v>
      </c>
      <c r="I219" t="str">
        <f>+_xlfn.XLOOKUP(F219,Hoja5!$C$2:$C$420,Hoja5!$G$2:$G$420)</f>
        <v>OFFLINE MANUAL</v>
      </c>
      <c r="J219" t="str" cm="1">
        <f t="array" ref="J219">+_xlfn.XLOOKUP(F219,Hoja5!$C$2:$C$420,Hoja5!$H$2:H$420)</f>
        <v>ORDEN PÚBLICO</v>
      </c>
      <c r="L219" t="str">
        <f>+_xlfn.XLOOKUP(B219,polaris!$B$2:$B$785,polaris!$C$2:$C$785)</f>
        <v>PALMOR - SIERRA NEVADA - AUT [2906500077; MAG; MET; INMARSAT; AO05; FONDO ADAPTACION]</v>
      </c>
      <c r="M219" t="b">
        <f t="shared" si="3"/>
        <v>1</v>
      </c>
    </row>
    <row r="220" spans="1:13" x14ac:dyDescent="0.25">
      <c r="A220" s="9">
        <v>219</v>
      </c>
      <c r="B220" s="9">
        <v>314</v>
      </c>
      <c r="C220" s="10" t="s">
        <v>641</v>
      </c>
      <c r="D220" t="str">
        <f>+_xlfn.XLOOKUP(B220,polaris!$B$2:$B$785,polaris!$D$2:$D$785)</f>
        <v>HIDROLÓGICA</v>
      </c>
      <c r="E220"/>
      <c r="F220" s="26">
        <v>28037030</v>
      </c>
      <c r="G220" s="26" t="str" cm="1">
        <f t="array" ref="G220">+_xlfn.XLOOKUP(C220,Hoja1!$E$2:$E$420,Tabla1[Nombre])</f>
        <v>PUENTE SALGUERO  - AUT [28037030]</v>
      </c>
      <c r="H220" t="str">
        <f>+_xlfn.XLOOKUP(F220,Tabla1[Codigo],Tabla1[Nombre])</f>
        <v>PUENTE SALGUERO  - AUT [28037030]</v>
      </c>
      <c r="I220" t="str">
        <f>+_xlfn.XLOOKUP(F220,Hoja5!$C$2:$C$420,Hoja5!$G$2:$G$420)</f>
        <v>EN LINEA</v>
      </c>
      <c r="J220" t="str" cm="1">
        <f t="array" ref="J220">+_xlfn.XLOOKUP(F220,Hoja5!$C$2:$C$420,Hoja5!$H$2:H$420)</f>
        <v>GPRS</v>
      </c>
      <c r="L220" t="str">
        <f>+_xlfn.XLOOKUP(B220,polaris!$B$2:$B$785,polaris!$C$2:$C$785)</f>
        <v>PUENTE SALGUERO  - AUT [28037030; AO 05; HID; GPRS; FONDO ADAPTACION]</v>
      </c>
      <c r="M220" t="b">
        <f t="shared" si="3"/>
        <v>1</v>
      </c>
    </row>
    <row r="221" spans="1:13" x14ac:dyDescent="0.25">
      <c r="A221" s="9">
        <v>220</v>
      </c>
      <c r="B221" s="9">
        <v>315</v>
      </c>
      <c r="C221" s="94" t="s">
        <v>642</v>
      </c>
      <c r="D221" t="str">
        <f>+_xlfn.XLOOKUP(B221,polaris!$B$2:$B$785,polaris!$D$2:$D$785)</f>
        <v>METEOROLÓGICA</v>
      </c>
      <c r="E221"/>
      <c r="F221" s="92">
        <v>2802500079</v>
      </c>
      <c r="G221" s="26" t="e" cm="1">
        <f t="array" ref="G221">+_xlfn.XLOOKUP(C221,Hoja1!$E$2:$E$420,Tabla1[Nombre])</f>
        <v>#N/A</v>
      </c>
      <c r="H221" t="str">
        <f>+_xlfn.XLOOKUP(F221,Tabla1[Codigo],Tabla1[Nombre])</f>
        <v>CARACOLI [2802500079]</v>
      </c>
      <c r="I221" t="str">
        <f>+_xlfn.XLOOKUP(F221,Hoja5!$C$2:$C$420,Hoja5!$G$2:$G$420)</f>
        <v>EN LINEA</v>
      </c>
      <c r="J221" t="str" cm="1">
        <f t="array" ref="J221">+_xlfn.XLOOKUP(F221,Hoja5!$C$2:$C$420,Hoja5!$H$2:H$420)</f>
        <v>GPRS</v>
      </c>
      <c r="L221" t="str">
        <f>+_xlfn.XLOOKUP(B221,polaris!$B$2:$B$785,polaris!$C$2:$C$785)</f>
        <v>CARACOLI [28030190; AO 05; FONDO ADAPTACION]</v>
      </c>
      <c r="M221" t="b">
        <f t="shared" si="3"/>
        <v>1</v>
      </c>
    </row>
    <row r="222" spans="1:13" x14ac:dyDescent="0.25">
      <c r="A222" s="9">
        <v>221</v>
      </c>
      <c r="B222" s="9">
        <v>316</v>
      </c>
      <c r="C222" s="10" t="s">
        <v>643</v>
      </c>
      <c r="D222" t="str">
        <f>+_xlfn.XLOOKUP(B222,polaris!$B$2:$B$785,polaris!$D$2:$D$785)</f>
        <v>METEOROLÓGICA</v>
      </c>
      <c r="E222"/>
      <c r="F222" s="26">
        <v>28035070</v>
      </c>
      <c r="G222" s="26" t="str" cm="1">
        <f t="array" ref="G222">+_xlfn.XLOOKUP(C222,Hoja1!$E$2:$E$420,Tabla1[Nombre])</f>
        <v>GUATAPURI - AUT [28035070]</v>
      </c>
      <c r="H222" t="str">
        <f>+_xlfn.XLOOKUP(F222,Tabla1[Codigo],Tabla1[Nombre])</f>
        <v>GUATAPURI - AUT [28035070]</v>
      </c>
      <c r="I222" t="str">
        <f>+_xlfn.XLOOKUP(F222,Hoja5!$C$2:$C$420,Hoja5!$G$2:$G$420)</f>
        <v>EN LINEA</v>
      </c>
      <c r="J222" t="str" cm="1">
        <f t="array" ref="J222">+_xlfn.XLOOKUP(F222,Hoja5!$C$2:$C$420,Hoja5!$H$2:H$420)</f>
        <v>GOES</v>
      </c>
      <c r="L222" t="str">
        <f>+_xlfn.XLOOKUP(B222,polaris!$B$2:$B$785,polaris!$C$2:$C$785)</f>
        <v>GUATAPURI [28035070; CES; MET; CP; AO05; H5; JSOLANO; 50-5; ; R24; FNCM; ; ]</v>
      </c>
      <c r="M222" t="b">
        <f t="shared" si="3"/>
        <v>1</v>
      </c>
    </row>
    <row r="223" spans="1:13" x14ac:dyDescent="0.25">
      <c r="A223" s="9">
        <v>222</v>
      </c>
      <c r="B223" s="9">
        <v>318</v>
      </c>
      <c r="C223" s="10" t="s">
        <v>644</v>
      </c>
      <c r="D223" t="str">
        <f>+_xlfn.XLOOKUP(B223,polaris!$B$2:$B$785,polaris!$D$2:$D$785)</f>
        <v>HIDROLÓGICA</v>
      </c>
      <c r="E223"/>
      <c r="F223" s="26">
        <v>29067150</v>
      </c>
      <c r="G223" s="26" t="str" cm="1">
        <f t="array" ref="G223">+_xlfn.XLOOKUP(C223,Hoja1!$E$2:$E$420,Tabla1[Nombre])</f>
        <v>GANADERIA CARIBE  - AUT [29067150]</v>
      </c>
      <c r="H223" t="str">
        <f>+_xlfn.XLOOKUP(F223,Tabla1[Codigo],Tabla1[Nombre])</f>
        <v>GANADERIA CARIBE  - AUT [29067150]</v>
      </c>
      <c r="I223" t="str">
        <f>+_xlfn.XLOOKUP(F223,Hoja5!$C$2:$C$420,Hoja5!$G$2:$G$420)</f>
        <v>EN LINEA</v>
      </c>
      <c r="J223" t="str" cm="1">
        <f t="array" ref="J223">+_xlfn.XLOOKUP(F223,Hoja5!$C$2:$C$420,Hoja5!$H$2:H$420)</f>
        <v>GOES</v>
      </c>
      <c r="L223" t="str">
        <f>+_xlfn.XLOOKUP(B223,polaris!$B$2:$B$785,polaris!$C$2:$C$785)</f>
        <v>GANADERIA CARIBE  - AUT [29067150;AO05; FONDO ADAPTACION]</v>
      </c>
      <c r="M223" t="b">
        <f t="shared" si="3"/>
        <v>1</v>
      </c>
    </row>
    <row r="224" spans="1:13" x14ac:dyDescent="0.25">
      <c r="A224" s="9">
        <v>223</v>
      </c>
      <c r="B224" s="9">
        <v>319</v>
      </c>
      <c r="C224" s="94" t="s">
        <v>645</v>
      </c>
      <c r="D224" t="str">
        <f>+_xlfn.XLOOKUP(B224,polaris!$B$2:$B$785,polaris!$D$2:$D$785)</f>
        <v>METEOROLÓGICA</v>
      </c>
      <c r="E224"/>
      <c r="F224" s="92">
        <v>2401500080</v>
      </c>
      <c r="G224" s="26" t="e" cm="1">
        <f t="array" ref="G224">+_xlfn.XLOOKUP(C224,Hoja1!$E$2:$E$420,Tabla1[Nombre])</f>
        <v>#N/A</v>
      </c>
      <c r="H224" t="str">
        <f>+_xlfn.XLOOKUP(F224,Tabla1[Codigo],Tabla1[Nombre])</f>
        <v>PANELAS - AUT [2401500080]</v>
      </c>
      <c r="I224" t="str">
        <f>+_xlfn.XLOOKUP(F224,Hoja5!$C$2:$C$420,Hoja5!$G$2:$G$420)</f>
        <v>EN LINEA</v>
      </c>
      <c r="J224" t="str" cm="1">
        <f t="array" ref="J224">+_xlfn.XLOOKUP(F224,Hoja5!$C$2:$C$420,Hoja5!$H$2:H$420)</f>
        <v>GPRS</v>
      </c>
      <c r="L224" t="str">
        <f>+_xlfn.XLOOKUP(B224,polaris!$B$2:$B$785,polaris!$C$2:$C$785)</f>
        <v>PANELAS [24010840; BOY; MET; GPRS_WIFI; AO06; FONDO ADAPTACION]</v>
      </c>
      <c r="M224" t="b">
        <f t="shared" si="3"/>
        <v>1</v>
      </c>
    </row>
    <row r="225" spans="1:13" x14ac:dyDescent="0.25">
      <c r="A225" s="9">
        <v>224</v>
      </c>
      <c r="B225" s="9">
        <v>320</v>
      </c>
      <c r="C225" s="10" t="s">
        <v>646</v>
      </c>
      <c r="D225" t="str">
        <f>+_xlfn.XLOOKUP(B225,polaris!$B$2:$B$785,polaris!$D$2:$D$785)</f>
        <v>METEOROLÓGICA</v>
      </c>
      <c r="E225"/>
      <c r="F225" s="26">
        <v>24025030</v>
      </c>
      <c r="G225" s="26" t="str" cm="1">
        <f t="array" ref="G225">+_xlfn.XLOOKUP(C225,Hoja1!$E$2:$E$420,Tabla1[Nombre])</f>
        <v>LA SIERRA - AUT [24025030]</v>
      </c>
      <c r="H225" t="str">
        <f>+_xlfn.XLOOKUP(F225,Tabla1[Codigo],Tabla1[Nombre])</f>
        <v>LA SIERRA - AUT [24025030]</v>
      </c>
      <c r="I225" t="str">
        <f>+_xlfn.XLOOKUP(F225,Hoja5!$C$2:$C$420,Hoja5!$G$2:$G$420)</f>
        <v>EN LINEA</v>
      </c>
      <c r="J225" t="str" cm="1">
        <f t="array" ref="J225">+_xlfn.XLOOKUP(F225,Hoja5!$C$2:$C$420,Hoja5!$H$2:H$420)</f>
        <v>GPRS</v>
      </c>
      <c r="L225" t="str">
        <f>+_xlfn.XLOOKUP(B225,polaris!$B$2:$B$785,polaris!$C$2:$C$785)</f>
        <v>LA SIERRA - AUT [24025030; BOY; MET; AO06; FONDO ADAPTACION]</v>
      </c>
      <c r="M225" t="b">
        <f t="shared" si="3"/>
        <v>1</v>
      </c>
    </row>
    <row r="226" spans="1:13" x14ac:dyDescent="0.25">
      <c r="A226" s="9">
        <v>225</v>
      </c>
      <c r="B226" s="9">
        <v>322</v>
      </c>
      <c r="C226" s="10" t="s">
        <v>647</v>
      </c>
      <c r="D226" t="str">
        <f>+_xlfn.XLOOKUP(B226,polaris!$B$2:$B$785,polaris!$D$2:$D$785)</f>
        <v>METEOROLÓGICA</v>
      </c>
      <c r="E226"/>
      <c r="F226" s="26">
        <v>24030140</v>
      </c>
      <c r="G226" s="26" t="str" cm="1">
        <f t="array" ref="G226">+_xlfn.XLOOKUP(C226,Hoja1!$E$2:$E$420,Tabla1[Nombre])</f>
        <v>SIACHOQUE [24030140]</v>
      </c>
      <c r="H226" t="str">
        <f>+_xlfn.XLOOKUP(F226,Tabla1[Codigo],Tabla1[Nombre])</f>
        <v>SIACHOQUE [24030140]</v>
      </c>
      <c r="I226" t="e">
        <f>+_xlfn.XLOOKUP(F226,Hoja5!$C$2:$C$420,Hoja5!$G$2:$G$420)</f>
        <v>#N/A</v>
      </c>
      <c r="J226" t="e" cm="1">
        <f t="array" ref="J226">+_xlfn.XLOOKUP(F226,Hoja5!$C$2:$C$420,Hoja5!$H$2:H$420)</f>
        <v>#N/A</v>
      </c>
      <c r="L226" t="str">
        <f>+_xlfn.XLOOKUP(B226,polaris!$B$2:$B$785,polaris!$C$2:$C$785)</f>
        <v>SIACHOQUE [24030140; BOY; MET;  AO06; FONDO ADAPTACION]</v>
      </c>
      <c r="M226" t="b">
        <f t="shared" si="3"/>
        <v>1</v>
      </c>
    </row>
    <row r="227" spans="1:13" x14ac:dyDescent="0.25">
      <c r="A227" s="9">
        <v>226</v>
      </c>
      <c r="B227" s="9">
        <v>323</v>
      </c>
      <c r="C227" s="94" t="s">
        <v>648</v>
      </c>
      <c r="D227" t="str">
        <f>+_xlfn.XLOOKUP(B227,polaris!$B$2:$B$785,polaris!$D$2:$D$785)</f>
        <v>METEOROLÓGICA</v>
      </c>
      <c r="E227"/>
      <c r="F227" s="92">
        <v>2403500083</v>
      </c>
      <c r="G227" s="26" t="e" cm="1">
        <f t="array" ref="G227">+_xlfn.XLOOKUP(C227,Hoja1!$E$2:$E$420,Tabla1[Nombre])</f>
        <v>#N/A</v>
      </c>
      <c r="H227" t="str">
        <f>+_xlfn.XLOOKUP(F227,Tabla1[Codigo],Tabla1[Nombre])</f>
        <v>PESCA - AUT [2403500083]</v>
      </c>
      <c r="I227" t="str">
        <f>+_xlfn.XLOOKUP(F227,Hoja5!$C$2:$C$420,Hoja5!$G$2:$G$420)</f>
        <v>EN LINEA</v>
      </c>
      <c r="J227" t="str" cm="1">
        <f t="array" ref="J227">+_xlfn.XLOOKUP(F227,Hoja5!$C$2:$C$420,Hoja5!$H$2:H$420)</f>
        <v>GPRS</v>
      </c>
      <c r="L227" t="str">
        <f>+_xlfn.XLOOKUP(B227,polaris!$B$2:$B$785,polaris!$C$2:$C$785)</f>
        <v>PESCA - AUT [24030120; BOY; MET; GPRS; AO06; FONDO ADAPTACION]</v>
      </c>
      <c r="M227" t="b">
        <f t="shared" si="3"/>
        <v>1</v>
      </c>
    </row>
    <row r="228" spans="1:13" x14ac:dyDescent="0.25">
      <c r="A228" s="9">
        <v>227</v>
      </c>
      <c r="B228" s="9">
        <v>324</v>
      </c>
      <c r="C228" s="10" t="s">
        <v>649</v>
      </c>
      <c r="D228" t="str">
        <f>+_xlfn.XLOOKUP(B228,polaris!$B$2:$B$785,polaris!$D$2:$D$785)</f>
        <v>HIDROLÓGICA</v>
      </c>
      <c r="E228"/>
      <c r="F228" s="26">
        <v>24037030</v>
      </c>
      <c r="G228" s="26" t="str" cm="1">
        <f t="array" ref="G228">+_xlfn.XLOOKUP(C228,Hoja1!$E$2:$E$420,Tabla1[Nombre])</f>
        <v>EL PALO - AUT [24037030]</v>
      </c>
      <c r="H228" t="str">
        <f>+_xlfn.XLOOKUP(F228,Tabla1[Codigo],Tabla1[Nombre])</f>
        <v>EL PALO - AUT [24037030]</v>
      </c>
      <c r="I228" t="str">
        <f>+_xlfn.XLOOKUP(F228,Hoja5!$C$2:$C$420,Hoja5!$G$2:$G$420)</f>
        <v>EN LINEA</v>
      </c>
      <c r="J228" t="str" cm="1">
        <f t="array" ref="J228">+_xlfn.XLOOKUP(F228,Hoja5!$C$2:$C$420,Hoja5!$H$2:H$420)</f>
        <v>GPRS</v>
      </c>
      <c r="L228" t="str">
        <f>+_xlfn.XLOOKUP(B228,polaris!$B$2:$B$785,polaris!$C$2:$C$785)</f>
        <v>EL PALO - AUT [24037030;  AO06; HID; GPRS; FONDO ADAPTACION]</v>
      </c>
      <c r="M228" t="b">
        <f t="shared" si="3"/>
        <v>1</v>
      </c>
    </row>
    <row r="229" spans="1:13" x14ac:dyDescent="0.25">
      <c r="A229" s="9">
        <v>228</v>
      </c>
      <c r="B229" s="9">
        <v>325</v>
      </c>
      <c r="C229" s="94" t="s">
        <v>650</v>
      </c>
      <c r="D229" t="str">
        <f>+_xlfn.XLOOKUP(B229,polaris!$B$2:$B$785,polaris!$D$2:$D$785)</f>
        <v>METEOROLÓGICA</v>
      </c>
      <c r="E229"/>
      <c r="F229" s="92">
        <v>2403500084</v>
      </c>
      <c r="G229" s="26" t="e" cm="1">
        <f t="array" ref="G229">+_xlfn.XLOOKUP(C229,Hoja1!$E$2:$E$420,Tabla1[Nombre])</f>
        <v>#N/A</v>
      </c>
      <c r="H229" t="str">
        <f>+_xlfn.XLOOKUP(F229,Tabla1[Codigo],Tabla1[Nombre])</f>
        <v>MONGUA - AUT [2403500084]</v>
      </c>
      <c r="I229" t="str">
        <f>+_xlfn.XLOOKUP(F229,Hoja5!$C$2:$C$420,Hoja5!$G$2:$G$420)</f>
        <v>EN LINEA</v>
      </c>
      <c r="J229" t="str" cm="1">
        <f t="array" ref="J229">+_xlfn.XLOOKUP(F229,Hoja5!$C$2:$C$420,Hoja5!$H$2:H$420)</f>
        <v>GPRS</v>
      </c>
      <c r="L229" t="str">
        <f>+_xlfn.XLOOKUP(B229,polaris!$B$2:$B$785,polaris!$C$2:$C$785)</f>
        <v>MONGUA [24030560; BOY; MET;; AO06; FONDO ADAPTACION]</v>
      </c>
      <c r="M229" t="b">
        <f t="shared" si="3"/>
        <v>1</v>
      </c>
    </row>
    <row r="230" spans="1:13" x14ac:dyDescent="0.25">
      <c r="A230" s="9">
        <v>229</v>
      </c>
      <c r="B230" s="9">
        <v>326</v>
      </c>
      <c r="C230" s="10" t="s">
        <v>651</v>
      </c>
      <c r="D230" t="str">
        <f>+_xlfn.XLOOKUP(B230,polaris!$B$2:$B$785,polaris!$D$2:$D$785)</f>
        <v>METEOROLÓGICA</v>
      </c>
      <c r="E230"/>
      <c r="F230" s="26">
        <v>2403500085</v>
      </c>
      <c r="G230" s="26" t="str" cm="1">
        <f t="array" ref="G230">+_xlfn.XLOOKUP(C230,Hoja1!$E$2:$E$420,Tabla1[Nombre])</f>
        <v>SUSA - AUT [2403500085]</v>
      </c>
      <c r="H230" t="str">
        <f>+_xlfn.XLOOKUP(F230,Tabla1[Codigo],Tabla1[Nombre])</f>
        <v>SUSA - AUT [2403500085]</v>
      </c>
      <c r="I230" t="str">
        <f>+_xlfn.XLOOKUP(F230,Hoja5!$C$2:$C$420,Hoja5!$G$2:$G$420)</f>
        <v>DESCONECTADO</v>
      </c>
      <c r="J230" t="str" cm="1">
        <f t="array" ref="J230">+_xlfn.XLOOKUP(F230,Hoja5!$C$2:$C$420,Hoja5!$H$2:H$420)</f>
        <v>INMARSAT</v>
      </c>
      <c r="L230" t="str">
        <f>+_xlfn.XLOOKUP(B230,polaris!$B$2:$B$785,polaris!$C$2:$C$785)</f>
        <v>SUSA - AUT [2403500085; BOY; MET; INMARSAT; AO06; FONDO ADAPTACION]</v>
      </c>
      <c r="M230" t="b">
        <f t="shared" si="3"/>
        <v>1</v>
      </c>
    </row>
    <row r="231" spans="1:13" x14ac:dyDescent="0.25">
      <c r="A231" s="9">
        <v>230</v>
      </c>
      <c r="B231" s="9">
        <v>327</v>
      </c>
      <c r="C231" s="10" t="s">
        <v>652</v>
      </c>
      <c r="D231" t="str">
        <f>+_xlfn.XLOOKUP(B231,polaris!$B$2:$B$785,polaris!$D$2:$D$785)</f>
        <v>HIDROLÓGICA</v>
      </c>
      <c r="E231"/>
      <c r="F231" s="26">
        <v>24037490</v>
      </c>
      <c r="G231" s="26" t="str" cm="1">
        <f t="array" ref="G231">+_xlfn.XLOOKUP(C231,Hoja1!$E$2:$E$420,Tabla1[Nombre])</f>
        <v>PUENTE TOTUMO  - AUT [24037490]</v>
      </c>
      <c r="H231" t="str">
        <f>+_xlfn.XLOOKUP(F231,Tabla1[Codigo],Tabla1[Nombre])</f>
        <v>PUENTE TOTUMO  - AUT [24037490]</v>
      </c>
      <c r="I231" t="str">
        <f>+_xlfn.XLOOKUP(F231,Hoja5!$C$2:$C$420,Hoja5!$G$2:$G$420)</f>
        <v>EN LINEA</v>
      </c>
      <c r="J231" t="str" cm="1">
        <f t="array" ref="J231">+_xlfn.XLOOKUP(F231,Hoja5!$C$2:$C$420,Hoja5!$H$2:H$420)</f>
        <v>GPRS</v>
      </c>
      <c r="L231" t="str">
        <f>+_xlfn.XLOOKUP(B231,polaris!$B$2:$B$785,polaris!$C$2:$C$785)</f>
        <v>PUENTE TOTUMO  - AUT [24037490; AO06; HID;  FONDO ADAPTACION]</v>
      </c>
      <c r="M231" t="b">
        <f t="shared" si="3"/>
        <v>1</v>
      </c>
    </row>
    <row r="232" spans="1:13" x14ac:dyDescent="0.25">
      <c r="A232" s="9">
        <v>231</v>
      </c>
      <c r="B232" s="9">
        <v>328</v>
      </c>
      <c r="C232" s="95" t="s">
        <v>653</v>
      </c>
      <c r="D232" t="str">
        <f>+_xlfn.XLOOKUP(B232,polaris!$B$2:$B$785,polaris!$D$2:$D$785)</f>
        <v>HIDROLÓGICA</v>
      </c>
      <c r="E232"/>
      <c r="F232" s="26">
        <v>35107040</v>
      </c>
      <c r="G232" s="26" t="str" cm="1">
        <f t="array" ref="G232">+_xlfn.XLOOKUP(C232,Hoja1!$E$2:$E$420,Tabla1[Nombre])</f>
        <v>GUAICARAMO  - AUT [35107040]</v>
      </c>
      <c r="H232" t="str">
        <f>+_xlfn.XLOOKUP(F232,Tabla1[Codigo],Tabla1[Nombre])</f>
        <v>GUAICARAMO  - AUT [35107040]</v>
      </c>
      <c r="I232" t="str">
        <f>+_xlfn.XLOOKUP(F232,Hoja5!$C$2:$C$420,Hoja5!$G$2:$G$420)</f>
        <v>OFFLINE MANUAL</v>
      </c>
      <c r="J232" t="str" cm="1">
        <f t="array" ref="J232">+_xlfn.XLOOKUP(F232,Hoja5!$C$2:$C$420,Hoja5!$H$2:H$420)</f>
        <v>PROC SUSPENSION</v>
      </c>
      <c r="L232" t="str">
        <f>+_xlfn.XLOOKUP(B232,polaris!$B$2:$B$785,polaris!$C$2:$C$785)</f>
        <v>GUAICARAMO - AUT [35107040;AO 03;FONDO ADAPTACION;SINIESTRO]</v>
      </c>
      <c r="M232" t="b">
        <f t="shared" si="3"/>
        <v>1</v>
      </c>
    </row>
    <row r="233" spans="1:13" x14ac:dyDescent="0.25">
      <c r="A233" s="9">
        <v>232</v>
      </c>
      <c r="B233" s="9">
        <v>329</v>
      </c>
      <c r="C233" s="10" t="s">
        <v>654</v>
      </c>
      <c r="D233" t="str">
        <f>+_xlfn.XLOOKUP(B233,polaris!$B$2:$B$785,polaris!$D$2:$D$785)</f>
        <v>HIDROLÓGICA</v>
      </c>
      <c r="E233"/>
      <c r="F233" s="26">
        <v>47017070</v>
      </c>
      <c r="G233" s="26" t="str" cm="1">
        <f t="array" ref="G233">+_xlfn.XLOOKUP(C233,Hoja1!$E$2:$E$420,Tabla1[Nombre])</f>
        <v>EL EDEN - AUT [47017070]</v>
      </c>
      <c r="H233" t="str">
        <f>+_xlfn.XLOOKUP(F233,Tabla1[Codigo],Tabla1[Nombre])</f>
        <v>EL EDEN - AUT [47017070]</v>
      </c>
      <c r="I233" t="str">
        <f>+_xlfn.XLOOKUP(F233,Hoja5!$C$2:$C$420,Hoja5!$G$2:$G$420)</f>
        <v>EN LINEA</v>
      </c>
      <c r="J233" t="str" cm="1">
        <f t="array" ref="J233">+_xlfn.XLOOKUP(F233,Hoja5!$C$2:$C$420,Hoja5!$H$2:H$420)</f>
        <v>GPRS</v>
      </c>
      <c r="L233" t="str">
        <f>+_xlfn.XLOOKUP(B233,polaris!$B$2:$B$785,polaris!$C$2:$C$785)</f>
        <v>EL EDEN - AUT [47017070;AO 07;FONDO ADAPTACION]</v>
      </c>
      <c r="M233" t="b">
        <f t="shared" si="3"/>
        <v>1</v>
      </c>
    </row>
    <row r="234" spans="1:13" x14ac:dyDescent="0.25">
      <c r="A234" s="9">
        <v>233</v>
      </c>
      <c r="B234" s="9">
        <v>330</v>
      </c>
      <c r="C234" s="10" t="s">
        <v>655</v>
      </c>
      <c r="D234" t="str">
        <f>+_xlfn.XLOOKUP(B234,polaris!$B$2:$B$785,polaris!$D$2:$D$785)</f>
        <v>HIDROLÓGICA</v>
      </c>
      <c r="E234"/>
      <c r="F234" s="26">
        <v>3602700101</v>
      </c>
      <c r="G234" s="26" t="str" cm="1">
        <f t="array" ref="G234">+_xlfn.XLOOKUP(C234,Hoja1!$E$2:$E$420,Tabla1[Nombre])</f>
        <v>SAN SALVADOR - AUT   [3602700101]</v>
      </c>
      <c r="H234" t="str">
        <f>+_xlfn.XLOOKUP(F234,Tabla1[Codigo],Tabla1[Nombre])</f>
        <v>SAN SALVADOR - AUT   [3602700101]</v>
      </c>
      <c r="I234" t="str">
        <f>+_xlfn.XLOOKUP(F234,Hoja5!$C$2:$C$420,Hoja5!$G$2:$G$420)</f>
        <v>EN LINEA</v>
      </c>
      <c r="J234" t="str" cm="1">
        <f t="array" ref="J234">+_xlfn.XLOOKUP(F234,Hoja5!$C$2:$C$420,Hoja5!$H$2:H$420)</f>
        <v>GPRS</v>
      </c>
      <c r="L234" t="str">
        <f>+_xlfn.XLOOKUP(B234,polaris!$B$2:$B$785,polaris!$C$2:$C$785)</f>
        <v>SAN SALVADOR - AUT   [3602700101; A0 06; HID; GPRS; FONDO ADAPTACION ]</v>
      </c>
      <c r="M234" t="b">
        <f t="shared" si="3"/>
        <v>1</v>
      </c>
    </row>
    <row r="235" spans="1:13" x14ac:dyDescent="0.25">
      <c r="A235" s="9">
        <v>234</v>
      </c>
      <c r="B235" s="9">
        <v>331</v>
      </c>
      <c r="C235" s="10" t="s">
        <v>656</v>
      </c>
      <c r="D235" t="str">
        <f>+_xlfn.XLOOKUP(B235,polaris!$B$2:$B$785,polaris!$D$2:$D$785)</f>
        <v>METEOROLÓGICA</v>
      </c>
      <c r="E235"/>
      <c r="F235" s="26">
        <v>21015030</v>
      </c>
      <c r="G235" s="26" t="str" cm="1">
        <f t="array" ref="G235">+_xlfn.XLOOKUP(C235,Hoja1!$E$2:$E$420,Tabla1[Nombre])</f>
        <v>PARQUE ARQUEOLOGICO - AUT [21015030]</v>
      </c>
      <c r="H235" t="str">
        <f>+_xlfn.XLOOKUP(F235,Tabla1[Codigo],Tabla1[Nombre])</f>
        <v>PARQUE ARQUEOLOGICO - AUT [21015030]</v>
      </c>
      <c r="I235" t="str">
        <f>+_xlfn.XLOOKUP(F235,Hoja5!$C$2:$C$420,Hoja5!$G$2:$G$420)</f>
        <v>EN LINEA</v>
      </c>
      <c r="J235" t="str" cm="1">
        <f t="array" ref="J235">+_xlfn.XLOOKUP(F235,Hoja5!$C$2:$C$420,Hoja5!$H$2:H$420)</f>
        <v>GPRS</v>
      </c>
      <c r="L235" t="str">
        <f>+_xlfn.XLOOKUP(B235,polaris!$B$2:$B$785,polaris!$C$2:$C$785)</f>
        <v>PARQUE ARQUEOLOGICO - AUT [21015030; HUI; MET; GPRS; AO04; FONDO ADAPTACION]</v>
      </c>
      <c r="M235" t="b">
        <f t="shared" si="3"/>
        <v>1</v>
      </c>
    </row>
    <row r="236" spans="1:13" x14ac:dyDescent="0.25">
      <c r="A236" s="9">
        <v>235</v>
      </c>
      <c r="B236" s="9">
        <v>332</v>
      </c>
      <c r="C236" s="10" t="s">
        <v>657</v>
      </c>
      <c r="D236" t="str">
        <f>+_xlfn.XLOOKUP(B236,polaris!$B$2:$B$785,polaris!$D$2:$D$785)</f>
        <v>HIDROLÓGICA</v>
      </c>
      <c r="E236"/>
      <c r="F236" s="26">
        <v>24037080</v>
      </c>
      <c r="G236" s="26" t="str" cm="1">
        <f t="array" ref="G236">+_xlfn.XLOOKUP(C236,Hoja1!$E$2:$E$420,Tabla1[Nombre])</f>
        <v>LA GRUTA  - AUT [24037080]</v>
      </c>
      <c r="H236" t="str">
        <f>+_xlfn.XLOOKUP(F236,Tabla1[Codigo],Tabla1[Nombre])</f>
        <v>LA GRUTA  - AUT [24037080]</v>
      </c>
      <c r="I236" t="str">
        <f>+_xlfn.XLOOKUP(F236,Hoja5!$C$2:$C$420,Hoja5!$G$2:$G$420)</f>
        <v>EN LINEA</v>
      </c>
      <c r="J236" t="str" cm="1">
        <f t="array" ref="J236">+_xlfn.XLOOKUP(F236,Hoja5!$C$2:$C$420,Hoja5!$H$2:H$420)</f>
        <v>GPRS</v>
      </c>
      <c r="L236" t="str">
        <f>+_xlfn.XLOOKUP(B236,polaris!$B$2:$B$785,polaris!$C$2:$C$785)</f>
        <v>LA GRUTA  - AUT [24037080; AO06; HID;  FONDO ADAPTACION]</v>
      </c>
      <c r="M236" t="b">
        <f t="shared" si="3"/>
        <v>1</v>
      </c>
    </row>
    <row r="237" spans="1:13" x14ac:dyDescent="0.25">
      <c r="A237" s="9">
        <v>236</v>
      </c>
      <c r="B237" s="9">
        <v>333</v>
      </c>
      <c r="C237" s="10" t="s">
        <v>658</v>
      </c>
      <c r="D237" t="str">
        <f>+_xlfn.XLOOKUP(B237,polaris!$B$2:$B$785,polaris!$D$2:$D$785)</f>
        <v>HIDROLÓGICA</v>
      </c>
      <c r="E237"/>
      <c r="F237" s="26">
        <v>3519700092</v>
      </c>
      <c r="G237" s="26" t="str" cm="1">
        <f t="array" ref="G237">+_xlfn.XLOOKUP(C237,Hoja1!$E$2:$E$420,Tabla1[Nombre])</f>
        <v>MANI - AUT   [3519700092]</v>
      </c>
      <c r="H237" t="str">
        <f>+_xlfn.XLOOKUP(F237,Tabla1[Codigo],Tabla1[Nombre])</f>
        <v>MANI - AUT   [3519700092]</v>
      </c>
      <c r="I237" t="str">
        <f>+_xlfn.XLOOKUP(F237,Hoja5!$C$2:$C$420,Hoja5!$G$2:$G$420)</f>
        <v>DESCONECTADO</v>
      </c>
      <c r="J237" t="str" cm="1">
        <f t="array" ref="J237">+_xlfn.XLOOKUP(F237,Hoja5!$C$2:$C$420,Hoja5!$H$2:H$420)</f>
        <v>GPRS</v>
      </c>
      <c r="L237" t="str">
        <f>+_xlfn.XLOOKUP(B237,polaris!$B$2:$B$785,polaris!$C$2:$C$785)</f>
        <v>MANI - AUT   [3519700092; AO 06; HID; GPRS; FONDO ADAPTACION ]</v>
      </c>
      <c r="M237" t="b">
        <f t="shared" si="3"/>
        <v>1</v>
      </c>
    </row>
    <row r="238" spans="1:13" x14ac:dyDescent="0.25">
      <c r="A238" s="9">
        <v>237</v>
      </c>
      <c r="B238" s="9">
        <v>334</v>
      </c>
      <c r="C238" s="10" t="s">
        <v>659</v>
      </c>
      <c r="D238" t="str">
        <f>+_xlfn.XLOOKUP(B238,polaris!$B$2:$B$785,polaris!$D$2:$D$785)</f>
        <v>HIDROLÓGICA</v>
      </c>
      <c r="E238"/>
      <c r="F238" s="26">
        <v>35197020</v>
      </c>
      <c r="G238" s="26" t="str" cm="1">
        <f t="array" ref="G238">+_xlfn.XLOOKUP(C238,Hoja1!$E$2:$E$420,Tabla1[Nombre])</f>
        <v>VADO HONDO  - AUT [35197020]</v>
      </c>
      <c r="H238" t="str">
        <f>+_xlfn.XLOOKUP(F238,Tabla1[Codigo],Tabla1[Nombre])</f>
        <v>VADO HONDO  - AUT [35197020]</v>
      </c>
      <c r="I238" t="str">
        <f>+_xlfn.XLOOKUP(F238,Hoja5!$C$2:$C$420,Hoja5!$G$2:$G$420)</f>
        <v>EN LINEA</v>
      </c>
      <c r="J238" t="str" cm="1">
        <f t="array" ref="J238">+_xlfn.XLOOKUP(F238,Hoja5!$C$2:$C$420,Hoja5!$H$2:H$420)</f>
        <v>GOES</v>
      </c>
      <c r="L238" t="str">
        <f>+_xlfn.XLOOKUP(B238,polaris!$B$2:$B$785,polaris!$C$2:$C$785)</f>
        <v>VADO HONDO  - AUT [35197020;AO06; HID; GOES; FONDO ADAPTACION]</v>
      </c>
      <c r="M238" t="b">
        <f t="shared" si="3"/>
        <v>1</v>
      </c>
    </row>
    <row r="239" spans="1:13" x14ac:dyDescent="0.25">
      <c r="A239" s="9">
        <v>238</v>
      </c>
      <c r="B239" s="9">
        <v>335</v>
      </c>
      <c r="C239" s="95" t="s">
        <v>660</v>
      </c>
      <c r="D239" t="str">
        <f>+_xlfn.XLOOKUP(B239,polaris!$B$2:$B$785,polaris!$D$2:$D$785)</f>
        <v>HIDROLÓGICA</v>
      </c>
      <c r="E239"/>
      <c r="F239" s="26">
        <v>29067160</v>
      </c>
      <c r="G239" s="26" t="str" cm="1">
        <f t="array" ref="G239">+_xlfn.XLOOKUP(C239,Hoja1!$E$2:$E$420,Tabla1[Nombre])</f>
        <v>PUENTE SEVILLA  - AUT [29067160]</v>
      </c>
      <c r="H239" t="str">
        <f>+_xlfn.XLOOKUP(F239,Tabla1[Codigo],Tabla1[Nombre])</f>
        <v>PUENTE SEVILLA  - AUT [29067160]</v>
      </c>
      <c r="I239" t="str">
        <f>+_xlfn.XLOOKUP(F239,Hoja5!$C$2:$C$420,Hoja5!$G$2:$G$420)</f>
        <v>OFFLINE MANUAL</v>
      </c>
      <c r="J239" t="str" cm="1">
        <f t="array" ref="J239">+_xlfn.XLOOKUP(F239,Hoja5!$C$2:$C$420,Hoja5!$H$2:H$420)</f>
        <v>ORDEN PÚBLICO</v>
      </c>
      <c r="L239" t="str">
        <f>+_xlfn.XLOOKUP(B239,polaris!$B$2:$B$785,polaris!$C$2:$C$785)</f>
        <v>PUENTE SEVILLA  - AUT [29067160; AO05;  ORDEN PUBLICO]</v>
      </c>
      <c r="M239" t="b">
        <f t="shared" si="3"/>
        <v>1</v>
      </c>
    </row>
    <row r="240" spans="1:13" x14ac:dyDescent="0.25">
      <c r="A240" s="9">
        <v>239</v>
      </c>
      <c r="B240" s="9">
        <v>336</v>
      </c>
      <c r="C240" s="10" t="s">
        <v>661</v>
      </c>
      <c r="D240" t="str">
        <f>+_xlfn.XLOOKUP(B240,polaris!$B$2:$B$785,polaris!$D$2:$D$785)</f>
        <v>METEOROLÓGICA</v>
      </c>
      <c r="E240"/>
      <c r="F240" s="26">
        <v>2401500086</v>
      </c>
      <c r="G240" s="26" t="str" cm="1">
        <f t="array" ref="G240">+_xlfn.XLOOKUP(C240,Hoja1!$E$2:$E$420,Tabla1[Nombre])</f>
        <v>UNIVERSIDAD PEDAGÓGICA Y TECNOLÓGICA DE COLOMBIA TUNJA - AUT [2401500086]</v>
      </c>
      <c r="H240" t="str">
        <f>+_xlfn.XLOOKUP(F240,Tabla1[Codigo],Tabla1[Nombre])</f>
        <v>UNIVERSIDAD PEDAGÓGICA Y TECNOLÓGICA DE COLOMBIA TUNJA - AUT [2401500086]</v>
      </c>
      <c r="I240" t="str">
        <f>+_xlfn.XLOOKUP(F240,Hoja5!$C$2:$C$420,Hoja5!$G$2:$G$420)</f>
        <v>EN LINEA</v>
      </c>
      <c r="J240" t="str" cm="1">
        <f t="array" ref="J240">+_xlfn.XLOOKUP(F240,Hoja5!$C$2:$C$420,Hoja5!$H$2:H$420)</f>
        <v>GPRS</v>
      </c>
      <c r="L240" t="str">
        <f>+_xlfn.XLOOKUP(B240,polaris!$B$2:$B$785,polaris!$C$2:$C$785)</f>
        <v>UNIVERSIDAD PEDAGÓGICA Y TECNOLÓGICA DE COLOMBIA TUNJA - AUT [2401500086; BOY; MET; WIFI; AO06; FONDO ADAPTACION]</v>
      </c>
      <c r="M240" t="b">
        <f t="shared" si="3"/>
        <v>1</v>
      </c>
    </row>
    <row r="241" spans="1:13" x14ac:dyDescent="0.25">
      <c r="A241" s="9">
        <v>240</v>
      </c>
      <c r="B241" s="9">
        <v>337</v>
      </c>
      <c r="C241" s="10" t="s">
        <v>662</v>
      </c>
      <c r="D241" t="str">
        <f>+_xlfn.XLOOKUP(B241,polaris!$B$2:$B$785,polaris!$D$2:$D$785)</f>
        <v>HIDROLÓGICA</v>
      </c>
      <c r="E241"/>
      <c r="F241" s="26">
        <v>21037020</v>
      </c>
      <c r="G241" s="26" t="str" cm="1">
        <f t="array" ref="G241">+_xlfn.XLOOKUP(C241,Hoja1!$E$2:$E$420,Tabla1[Nombre])</f>
        <v>SAN MARCOS  - AUT [21037020]</v>
      </c>
      <c r="H241" t="str">
        <f>+_xlfn.XLOOKUP(F241,Tabla1[Codigo],Tabla1[Nombre])</f>
        <v>SAN MARCOS  - AUT [21037020]</v>
      </c>
      <c r="I241" t="str">
        <f>+_xlfn.XLOOKUP(F241,Hoja5!$C$2:$C$420,Hoja5!$G$2:$G$420)</f>
        <v>DESCONECTADO</v>
      </c>
      <c r="J241" t="str" cm="1">
        <f t="array" ref="J241">+_xlfn.XLOOKUP(F241,Hoja5!$C$2:$C$420,Hoja5!$H$2:H$420)</f>
        <v>INMARSAT</v>
      </c>
      <c r="L241" t="str">
        <f>+_xlfn.XLOOKUP(B241,polaris!$B$2:$B$785,polaris!$C$2:$C$785)</f>
        <v>SAN MARCOS  - AUT [21037020; HUI; HID; INMARSAT; AO04; FONDO ADAPTACION]</v>
      </c>
      <c r="M241" t="b">
        <f t="shared" si="3"/>
        <v>1</v>
      </c>
    </row>
    <row r="242" spans="1:13" x14ac:dyDescent="0.25">
      <c r="A242" s="9">
        <v>241</v>
      </c>
      <c r="B242" s="9">
        <v>338</v>
      </c>
      <c r="C242" s="10" t="s">
        <v>663</v>
      </c>
      <c r="D242" t="str">
        <f>+_xlfn.XLOOKUP(B242,polaris!$B$2:$B$785,polaris!$D$2:$D$785)</f>
        <v>METEOROLÓGICA</v>
      </c>
      <c r="E242"/>
      <c r="F242" s="26">
        <v>24035250</v>
      </c>
      <c r="G242" s="26" t="str" cm="1">
        <f t="array" ref="G242">+_xlfn.XLOOKUP(C242,Hoja1!$E$2:$E$420,Tabla1[Nombre])</f>
        <v>CHITA  - AUT [24035250]</v>
      </c>
      <c r="H242" t="str">
        <f>+_xlfn.XLOOKUP(F242,Tabla1[Codigo],Tabla1[Nombre])</f>
        <v>CHITA  - AUT [24035250]</v>
      </c>
      <c r="I242" t="str">
        <f>+_xlfn.XLOOKUP(F242,Hoja5!$C$2:$C$420,Hoja5!$G$2:$G$420)</f>
        <v>EN LINEA</v>
      </c>
      <c r="J242" t="str" cm="1">
        <f t="array" ref="J242">+_xlfn.XLOOKUP(F242,Hoja5!$C$2:$C$420,Hoja5!$H$2:H$420)</f>
        <v>GPRS</v>
      </c>
      <c r="L242" t="str">
        <f>+_xlfn.XLOOKUP(B242,polaris!$B$2:$B$785,polaris!$C$2:$C$785)</f>
        <v>CHITA  - AUT [24035250; AO 06; MET; GPRS; FONDO ADAPTACION]</v>
      </c>
      <c r="M242" t="b">
        <f t="shared" si="3"/>
        <v>1</v>
      </c>
    </row>
    <row r="243" spans="1:13" x14ac:dyDescent="0.25">
      <c r="A243" s="9">
        <v>242</v>
      </c>
      <c r="B243" s="9">
        <v>339</v>
      </c>
      <c r="C243" s="10" t="s">
        <v>664</v>
      </c>
      <c r="D243" t="str">
        <f>+_xlfn.XLOOKUP(B243,polaris!$B$2:$B$785,polaris!$D$2:$D$785)</f>
        <v>HIDROLÓGICA</v>
      </c>
      <c r="E243"/>
      <c r="F243" s="26">
        <v>24037290</v>
      </c>
      <c r="G243" s="26" t="str" cm="1">
        <f t="array" ref="G243">+_xlfn.XLOOKUP(C243,Hoja1!$E$2:$E$420,Tabla1[Nombre])</f>
        <v>PUENTE CHAMEZA  - AUT [24037290]</v>
      </c>
      <c r="H243" t="str">
        <f>+_xlfn.XLOOKUP(F243,Tabla1[Codigo],Tabla1[Nombre])</f>
        <v>PUENTE CHAMEZA  - AUT [24037290]</v>
      </c>
      <c r="I243" t="str">
        <f>+_xlfn.XLOOKUP(F243,Hoja5!$C$2:$C$420,Hoja5!$G$2:$G$420)</f>
        <v>EN LINEA</v>
      </c>
      <c r="J243" t="str" cm="1">
        <f t="array" ref="J243">+_xlfn.XLOOKUP(F243,Hoja5!$C$2:$C$420,Hoja5!$H$2:H$420)</f>
        <v>GPRS</v>
      </c>
      <c r="L243" t="str">
        <f>+_xlfn.XLOOKUP(B243,polaris!$B$2:$B$785,polaris!$C$2:$C$785)</f>
        <v>PUENTE CHAMEZA  - AUT [24037290; AO06; HID; GPRS;  FONDO ADAPTACION]</v>
      </c>
      <c r="M243" t="b">
        <f t="shared" si="3"/>
        <v>1</v>
      </c>
    </row>
    <row r="244" spans="1:13" x14ac:dyDescent="0.25">
      <c r="A244" s="9">
        <v>243</v>
      </c>
      <c r="B244" s="9">
        <v>340</v>
      </c>
      <c r="C244" s="94" t="s">
        <v>665</v>
      </c>
      <c r="D244" t="str">
        <f>+_xlfn.XLOOKUP(B244,polaris!$B$2:$B$785,polaris!$D$2:$D$785)</f>
        <v>METEOROLÓGICA</v>
      </c>
      <c r="E244"/>
      <c r="F244" s="92">
        <v>3507500133</v>
      </c>
      <c r="G244" s="26" t="e" cm="1">
        <f t="array" ref="G244">+_xlfn.XLOOKUP(C244,Hoja1!$E$2:$E$420,Tabla1[Nombre])</f>
        <v>#N/A</v>
      </c>
      <c r="H244" t="str">
        <f>+_xlfn.XLOOKUP(F244,Tabla1[Codigo],Tabla1[Nombre])</f>
        <v>TEATINOS - AUT   [3507500133]</v>
      </c>
      <c r="I244" t="str">
        <f>+_xlfn.XLOOKUP(F244,Hoja5!$C$2:$C$420,Hoja5!$G$2:$G$420)</f>
        <v>DESCONECTADO</v>
      </c>
      <c r="J244" t="str" cm="1">
        <f t="array" ref="J244">+_xlfn.XLOOKUP(F244,Hoja5!$C$2:$C$420,Hoja5!$H$2:H$420)</f>
        <v>INMARSAT</v>
      </c>
      <c r="L244" t="str">
        <f>+_xlfn.XLOOKUP(B244,polaris!$B$2:$B$785,polaris!$C$2:$C$785)</f>
        <v>TEATINOS [35070310; BOY; MET; INMARSAT; AO06; FONDO ADAPTACION]</v>
      </c>
      <c r="M244" t="b">
        <f t="shared" si="3"/>
        <v>1</v>
      </c>
    </row>
    <row r="245" spans="1:13" x14ac:dyDescent="0.25">
      <c r="A245" s="9">
        <v>244</v>
      </c>
      <c r="B245" s="9">
        <v>342</v>
      </c>
      <c r="C245" s="10" t="s">
        <v>666</v>
      </c>
      <c r="D245" t="str">
        <f>+_xlfn.XLOOKUP(B245,polaris!$B$2:$B$785,polaris!$D$2:$D$785)</f>
        <v>METEOROLÓGICA</v>
      </c>
      <c r="E245"/>
      <c r="F245" s="26">
        <v>5102500128</v>
      </c>
      <c r="G245" s="26" t="str" cm="1">
        <f t="array" ref="G245">+_xlfn.XLOOKUP(C245,Hoja1!$E$2:$E$420,Tabla1[Nombre])</f>
        <v>RESERVA NATURAL LA PLANADA - AUT   [5102500128]</v>
      </c>
      <c r="H245" t="str">
        <f>+_xlfn.XLOOKUP(F245,Tabla1[Codigo],Tabla1[Nombre])</f>
        <v>RESERVA NATURAL LA PLANADA - AUT   [5102500128]</v>
      </c>
      <c r="I245" t="str">
        <f>+_xlfn.XLOOKUP(F245,Hoja5!$C$2:$C$420,Hoja5!$G$2:$G$420)</f>
        <v>DESCONECTADO</v>
      </c>
      <c r="J245" t="str" cm="1">
        <f t="array" ref="J245">+_xlfn.XLOOKUP(F245,Hoja5!$C$2:$C$420,Hoja5!$H$2:H$420)</f>
        <v>GOES</v>
      </c>
      <c r="L245" t="str">
        <f>+_xlfn.XLOOKUP(B245,polaris!$B$2:$B$785,polaris!$C$2:$C$785)</f>
        <v>RESERVA NATURAL LA PLANADA - AUT   [5102500128; AO 07; FONDO ADAPTACIÓN]</v>
      </c>
      <c r="M245" t="b">
        <f t="shared" si="3"/>
        <v>1</v>
      </c>
    </row>
    <row r="246" spans="1:13" x14ac:dyDescent="0.25">
      <c r="A246" s="9">
        <v>245</v>
      </c>
      <c r="B246" s="9">
        <v>343</v>
      </c>
      <c r="C246" s="10" t="s">
        <v>667</v>
      </c>
      <c r="D246" t="str">
        <f>+_xlfn.XLOOKUP(B246,polaris!$B$2:$B$785,polaris!$D$2:$D$785)</f>
        <v>HIDROLÓGICA</v>
      </c>
      <c r="E246"/>
      <c r="F246" s="26">
        <v>5204700100</v>
      </c>
      <c r="G246" s="26" t="str" cm="1">
        <f t="array" ref="G246">+_xlfn.XLOOKUP(C246,Hoja1!$E$2:$E$420,Tabla1[Nombre])</f>
        <v>PUENTE LOS DOLORES - AUT  [5204700100]</v>
      </c>
      <c r="H246" t="str">
        <f>+_xlfn.XLOOKUP(F246,Tabla1[Codigo],Tabla1[Nombre])</f>
        <v>PUENTE LOS DOLORES - AUT  [5204700100]</v>
      </c>
      <c r="I246" t="str">
        <f>+_xlfn.XLOOKUP(F246,Hoja5!$C$2:$C$420,Hoja5!$G$2:$G$420)</f>
        <v>EN LINEA</v>
      </c>
      <c r="J246" t="str" cm="1">
        <f t="array" ref="J246">+_xlfn.XLOOKUP(F246,Hoja5!$C$2:$C$420,Hoja5!$H$2:H$420)</f>
        <v>GPRS</v>
      </c>
      <c r="L246" t="str">
        <f>+_xlfn.XLOOKUP(B246,polaris!$B$2:$B$785,polaris!$C$2:$C$785)</f>
        <v>PUENTE LOS DOLORES - AUT  [5204700100;AO 07;FONDO ADAPTACION]</v>
      </c>
      <c r="M246" t="b">
        <f t="shared" si="3"/>
        <v>1</v>
      </c>
    </row>
    <row r="247" spans="1:13" x14ac:dyDescent="0.25">
      <c r="A247" s="9">
        <v>246</v>
      </c>
      <c r="B247" s="9">
        <v>344</v>
      </c>
      <c r="C247" s="10" t="s">
        <v>668</v>
      </c>
      <c r="D247" t="str">
        <f>+_xlfn.XLOOKUP(B247,polaris!$B$2:$B$785,polaris!$D$2:$D$785)</f>
        <v>METEOROLÓGICA</v>
      </c>
      <c r="E247"/>
      <c r="F247" s="26">
        <v>47015100</v>
      </c>
      <c r="G247" s="26" t="str" cm="1">
        <f t="array" ref="G247">+_xlfn.XLOOKUP(C247,Hoja1!$E$2:$E$420,Tabla1[Nombre])</f>
        <v>EL ENCANO - AUT [47015100]</v>
      </c>
      <c r="H247" t="str">
        <f>+_xlfn.XLOOKUP(F247,Tabla1[Codigo],Tabla1[Nombre])</f>
        <v>EL ENCANO - AUT [47015100]</v>
      </c>
      <c r="I247" t="str">
        <f>+_xlfn.XLOOKUP(F247,Hoja5!$C$2:$C$420,Hoja5!$G$2:$G$420)</f>
        <v>EN LINEA</v>
      </c>
      <c r="J247" t="str" cm="1">
        <f t="array" ref="J247">+_xlfn.XLOOKUP(F247,Hoja5!$C$2:$C$420,Hoja5!$H$2:H$420)</f>
        <v>GPRS</v>
      </c>
      <c r="L247" t="str">
        <f>+_xlfn.XLOOKUP(B247,polaris!$B$2:$B$785,polaris!$C$2:$C$785)</f>
        <v>EL ENCANO - AUT [47015100; AO 07;FONDO ADAPTACION]</v>
      </c>
      <c r="M247" t="b">
        <f t="shared" si="3"/>
        <v>1</v>
      </c>
    </row>
    <row r="248" spans="1:13" x14ac:dyDescent="0.25">
      <c r="A248" s="9">
        <v>247</v>
      </c>
      <c r="B248" s="9">
        <v>345</v>
      </c>
      <c r="C248" s="10" t="s">
        <v>669</v>
      </c>
      <c r="D248" t="str">
        <f>+_xlfn.XLOOKUP(B248,polaris!$B$2:$B$785,polaris!$D$2:$D$785)</f>
        <v>METEOROLÓGICA</v>
      </c>
      <c r="E248"/>
      <c r="F248" s="26">
        <v>52040050</v>
      </c>
      <c r="G248" s="26" t="str" cm="1">
        <f t="array" ref="G248">+_xlfn.XLOOKUP(C248,Hoja1!$E$2:$E$420,Tabla1[Nombre])</f>
        <v>APONTE [52040050]</v>
      </c>
      <c r="H248" t="str">
        <f>+_xlfn.XLOOKUP(F248,Tabla1[Codigo],Tabla1[Nombre])</f>
        <v>APONTE [52040050]</v>
      </c>
      <c r="I248" t="str">
        <f>+_xlfn.XLOOKUP(F248,Hoja5!$C$2:$C$420,Hoja5!$G$2:$G$420)</f>
        <v>EN LINEA</v>
      </c>
      <c r="J248" t="str" cm="1">
        <f t="array" ref="J248">+_xlfn.XLOOKUP(F248,Hoja5!$C$2:$C$420,Hoja5!$H$2:H$420)</f>
        <v>GPRS</v>
      </c>
      <c r="L248" t="str">
        <f>+_xlfn.XLOOKUP(B248,polaris!$B$2:$B$785,polaris!$C$2:$C$785)</f>
        <v>APONTE [52040050;AO 07;FONDO ADAPTACION]</v>
      </c>
      <c r="M248" t="b">
        <f t="shared" si="3"/>
        <v>1</v>
      </c>
    </row>
    <row r="249" spans="1:13" x14ac:dyDescent="0.25">
      <c r="A249" s="9">
        <v>248</v>
      </c>
      <c r="B249" s="9">
        <v>346</v>
      </c>
      <c r="C249" s="10" t="s">
        <v>670</v>
      </c>
      <c r="D249" t="str">
        <f>+_xlfn.XLOOKUP(B249,polaris!$B$2:$B$785,polaris!$D$2:$D$785)</f>
        <v>METEOROLÓGICA</v>
      </c>
      <c r="E249"/>
      <c r="F249" s="26">
        <v>5205500123</v>
      </c>
      <c r="G249" s="26" t="str" cm="1">
        <f t="array" ref="G249">+_xlfn.XLOOKUP(C249,Hoja1!$E$2:$E$420,Tabla1[Nombre])</f>
        <v>LAS IGLESIAS  - AUT [5205500123]</v>
      </c>
      <c r="H249" t="str">
        <f>+_xlfn.XLOOKUP(F249,Tabla1[Codigo],Tabla1[Nombre])</f>
        <v>LAS IGLESIAS  - AUT [5205500123]</v>
      </c>
      <c r="I249" t="str">
        <f>+_xlfn.XLOOKUP(F249,Hoja5!$C$2:$C$420,Hoja5!$G$2:$G$420)</f>
        <v>EN LINEA</v>
      </c>
      <c r="J249" t="str" cm="1">
        <f t="array" ref="J249">+_xlfn.XLOOKUP(F249,Hoja5!$C$2:$C$420,Hoja5!$H$2:H$420)</f>
        <v>GOES</v>
      </c>
      <c r="L249" t="str">
        <f>+_xlfn.XLOOKUP(B249,polaris!$B$2:$B$785,polaris!$C$2:$C$785)</f>
        <v>LAS IGLESIAS  - AUT [5205500123; GOES; AO07; ]</v>
      </c>
      <c r="M249" t="b">
        <f t="shared" si="3"/>
        <v>1</v>
      </c>
    </row>
    <row r="250" spans="1:13" x14ac:dyDescent="0.25">
      <c r="A250" s="9">
        <v>249</v>
      </c>
      <c r="B250" s="9">
        <v>347</v>
      </c>
      <c r="C250" s="10" t="s">
        <v>671</v>
      </c>
      <c r="D250" t="str">
        <f>+_xlfn.XLOOKUP(B250,polaris!$B$2:$B$785,polaris!$D$2:$D$785)</f>
        <v>HIDROLÓGICA</v>
      </c>
      <c r="E250"/>
      <c r="F250" s="26">
        <v>44037080</v>
      </c>
      <c r="G250" s="26" t="str" cm="1">
        <f t="array" ref="G250">+_xlfn.XLOOKUP(C250,Hoja1!$E$2:$E$420,Tabla1[Nombre])</f>
        <v>MORELIA  - AUT [44037080]</v>
      </c>
      <c r="H250" t="str">
        <f>+_xlfn.XLOOKUP(F250,Tabla1[Codigo],Tabla1[Nombre])</f>
        <v>MORELIA  - AUT [44037080]</v>
      </c>
      <c r="I250" t="str">
        <f>+_xlfn.XLOOKUP(F250,Hoja5!$C$2:$C$420,Hoja5!$G$2:$G$420)</f>
        <v>DESCONECTADO</v>
      </c>
      <c r="J250" t="str" cm="1">
        <f t="array" ref="J250">+_xlfn.XLOOKUP(F250,Hoja5!$C$2:$C$420,Hoja5!$H$2:H$420)</f>
        <v>GPRS</v>
      </c>
      <c r="L250" t="str">
        <f>+_xlfn.XLOOKUP(B250,polaris!$B$2:$B$785,polaris!$C$2:$C$785)</f>
        <v>MORELIA  - AUT [44037080; AO 04; HID; GPRS; FONDO ADAPTACION]</v>
      </c>
      <c r="M250" t="b">
        <f t="shared" si="3"/>
        <v>1</v>
      </c>
    </row>
    <row r="251" spans="1:13" x14ac:dyDescent="0.25">
      <c r="A251" s="9">
        <v>250</v>
      </c>
      <c r="B251" s="9">
        <v>348</v>
      </c>
      <c r="C251" s="10" t="s">
        <v>672</v>
      </c>
      <c r="D251" t="str">
        <f>+_xlfn.XLOOKUP(B251,polaris!$B$2:$B$785,polaris!$D$2:$D$785)</f>
        <v>METEOROLÓGICA</v>
      </c>
      <c r="E251"/>
      <c r="F251" s="26">
        <v>52020070</v>
      </c>
      <c r="G251" s="26" t="str" cm="1">
        <f t="array" ref="G251">+_xlfn.XLOOKUP(C251,Hoja1!$E$2:$E$420,Tabla1[Nombre])</f>
        <v>SANTIAGO - AUT   [52020070]</v>
      </c>
      <c r="H251" t="str">
        <f>+_xlfn.XLOOKUP(F251,Tabla1[Codigo],Tabla1[Nombre])</f>
        <v>SANTIAGO - AUT   [52020070]</v>
      </c>
      <c r="I251" t="str">
        <f>+_xlfn.XLOOKUP(F251,Hoja5!$C$2:$C$420,Hoja5!$G$2:$G$420)</f>
        <v>DESCONECTADO</v>
      </c>
      <c r="J251" t="str" cm="1">
        <f t="array" ref="J251">+_xlfn.XLOOKUP(F251,Hoja5!$C$2:$C$420,Hoja5!$H$2:H$420)</f>
        <v>INMARSAT</v>
      </c>
      <c r="L251" t="str">
        <f>+_xlfn.XLOOKUP(B251,polaris!$B$2:$B$785,polaris!$C$2:$C$785)</f>
        <v>SANTIAGO - AUT   [52020070; AO07;]</v>
      </c>
      <c r="M251" t="b">
        <f t="shared" si="3"/>
        <v>1</v>
      </c>
    </row>
    <row r="252" spans="1:13" x14ac:dyDescent="0.25">
      <c r="A252" s="9">
        <v>251</v>
      </c>
      <c r="B252" s="9">
        <v>350</v>
      </c>
      <c r="C252" s="95" t="s">
        <v>673</v>
      </c>
      <c r="D252" t="str">
        <f>+_xlfn.XLOOKUP(B252,polaris!$B$2:$B$785,polaris!$D$2:$D$785)</f>
        <v>HIDROLÓGICA</v>
      </c>
      <c r="E252"/>
      <c r="F252" s="26">
        <v>16027060</v>
      </c>
      <c r="G252" s="26" t="str" cm="1">
        <f t="array" ref="G252">+_xlfn.XLOOKUP(C252,Hoja1!$E$2:$E$420,Tabla1[Nombre])</f>
        <v>PUERTO LEON - AUT [16027060]</v>
      </c>
      <c r="H252" t="str">
        <f>+_xlfn.XLOOKUP(F252,Tabla1[Codigo],Tabla1[Nombre])</f>
        <v>PUERTO LEON - AUT [16027060]</v>
      </c>
      <c r="I252" t="str">
        <f>+_xlfn.XLOOKUP(F252,Hoja5!$C$2:$C$420,Hoja5!$G$2:$G$420)</f>
        <v>OFFLINE MANUAL</v>
      </c>
      <c r="J252" t="str" cm="1">
        <f t="array" ref="J252">+_xlfn.XLOOKUP(F252,Hoja5!$C$2:$C$420,Hoja5!$H$2:H$420)</f>
        <v>ORDEN PÚBLICO</v>
      </c>
      <c r="L252" t="str">
        <f>+_xlfn.XLOOKUP(B252,polaris!$B$2:$B$785,polaris!$C$2:$C$785)</f>
        <v>PUERTO LEON - AUT [16027060; NDS; HID; INMARSAT; AO08; FONDO ADAPTACION]</v>
      </c>
      <c r="M252" t="b">
        <f t="shared" si="3"/>
        <v>1</v>
      </c>
    </row>
    <row r="253" spans="1:13" x14ac:dyDescent="0.25">
      <c r="A253" s="9">
        <v>252</v>
      </c>
      <c r="B253" s="9">
        <v>352</v>
      </c>
      <c r="C253" s="10" t="s">
        <v>674</v>
      </c>
      <c r="D253" t="str">
        <f>+_xlfn.XLOOKUP(B253,polaris!$B$2:$B$785,polaris!$D$2:$D$785)</f>
        <v>METEOROLÓGICA</v>
      </c>
      <c r="E253"/>
      <c r="F253" s="26">
        <v>1602500110</v>
      </c>
      <c r="G253" s="26" t="str" cm="1">
        <f t="array" ref="G253">+_xlfn.XLOOKUP(C253,Hoja1!$E$2:$E$420,Tabla1[Nombre])</f>
        <v>ARBOLEDAS - AUT   [1602500110]</v>
      </c>
      <c r="H253" t="str">
        <f>+_xlfn.XLOOKUP(F253,Tabla1[Codigo],Tabla1[Nombre])</f>
        <v>ARBOLEDAS - AUT   [1602500110]</v>
      </c>
      <c r="I253" t="str">
        <f>+_xlfn.XLOOKUP(F253,Hoja5!$C$2:$C$420,Hoja5!$G$2:$G$420)</f>
        <v>EN LINEA</v>
      </c>
      <c r="J253" t="str" cm="1">
        <f t="array" ref="J253">+_xlfn.XLOOKUP(F253,Hoja5!$C$2:$C$420,Hoja5!$H$2:H$420)</f>
        <v>GPRS</v>
      </c>
      <c r="L253" t="str">
        <f>+_xlfn.XLOOKUP(B253,polaris!$B$2:$B$785,polaris!$C$2:$C$785)</f>
        <v>ARBOLEDAS - AUT   [1602500110; AO 08; MET; GPRS; FONDO ADAPTACION ]</v>
      </c>
      <c r="M253" t="b">
        <f t="shared" si="3"/>
        <v>1</v>
      </c>
    </row>
    <row r="254" spans="1:13" x14ac:dyDescent="0.25">
      <c r="A254" s="9">
        <v>253</v>
      </c>
      <c r="B254" s="9">
        <v>354</v>
      </c>
      <c r="C254" s="10" t="s">
        <v>675</v>
      </c>
      <c r="D254" t="str">
        <f>+_xlfn.XLOOKUP(B254,polaris!$B$2:$B$785,polaris!$D$2:$D$785)</f>
        <v>METEOROLÓGICA</v>
      </c>
      <c r="E254"/>
      <c r="F254" s="26">
        <v>3701500114</v>
      </c>
      <c r="G254" s="26" t="str" cm="1">
        <f t="array" ref="G254">+_xlfn.XLOOKUP(C254,Hoja1!$E$2:$E$420,Tabla1[Nombre])</f>
        <v>CHINACOTA - AUT   [3701500114]</v>
      </c>
      <c r="H254" t="str">
        <f>+_xlfn.XLOOKUP(F254,Tabla1[Codigo],Tabla1[Nombre])</f>
        <v>CHINACOTA - AUT   [3701500114]</v>
      </c>
      <c r="I254" t="str">
        <f>+_xlfn.XLOOKUP(F254,Hoja5!$C$2:$C$420,Hoja5!$G$2:$G$420)</f>
        <v>EN LINEA</v>
      </c>
      <c r="J254" t="str" cm="1">
        <f t="array" ref="J254">+_xlfn.XLOOKUP(F254,Hoja5!$C$2:$C$420,Hoja5!$H$2:H$420)</f>
        <v>GPRS</v>
      </c>
      <c r="L254" t="str">
        <f>+_xlfn.XLOOKUP(B254,polaris!$B$2:$B$785,polaris!$C$2:$C$785)</f>
        <v>CHINACOTA - AUT   [3701500114; AO 08; MET; GPRS; FONDO ADAPTACION]</v>
      </c>
      <c r="M254" t="b">
        <f t="shared" si="3"/>
        <v>1</v>
      </c>
    </row>
    <row r="255" spans="1:13" x14ac:dyDescent="0.25">
      <c r="A255" s="9">
        <v>254</v>
      </c>
      <c r="B255" s="9">
        <v>355</v>
      </c>
      <c r="C255" s="95" t="s">
        <v>676</v>
      </c>
      <c r="D255" t="str">
        <f>+_xlfn.XLOOKUP(B255,polaris!$B$2:$B$785,polaris!$D$2:$D$785)</f>
        <v>HIDROLÓGICA</v>
      </c>
      <c r="E255"/>
      <c r="F255" s="26">
        <v>16017010</v>
      </c>
      <c r="G255" s="26" t="str" cm="1">
        <f t="array" ref="G255">+_xlfn.XLOOKUP(C255,Hoja1!$E$2:$E$420,Tabla1[Nombre])</f>
        <v>AGUAS CLARAS  - AUT [16017010]</v>
      </c>
      <c r="H255" t="str">
        <f>+_xlfn.XLOOKUP(F255,Tabla1[Codigo],Tabla1[Nombre])</f>
        <v>AGUAS CLARAS  - AUT [16017010]</v>
      </c>
      <c r="I255" t="str">
        <f>+_xlfn.XLOOKUP(F255,Hoja5!$C$2:$C$420,Hoja5!$G$2:$G$420)</f>
        <v>OFFLINE MANUAL</v>
      </c>
      <c r="J255" t="str" cm="1">
        <f t="array" ref="J255">+_xlfn.XLOOKUP(F255,Hoja5!$C$2:$C$420,Hoja5!$H$2:H$420)</f>
        <v>ORDEN PÚBLICO</v>
      </c>
      <c r="L255" t="str">
        <f>+_xlfn.XLOOKUP(B255,polaris!$B$2:$B$785,polaris!$C$2:$C$785)</f>
        <v>AGUAS CLARAS  - AUT [16017010; NDS; HID; INMARSAT; AO08; FONDO ADAPTACION]</v>
      </c>
      <c r="M255" t="b">
        <f t="shared" si="3"/>
        <v>1</v>
      </c>
    </row>
    <row r="256" spans="1:13" x14ac:dyDescent="0.25">
      <c r="A256" s="9">
        <v>255</v>
      </c>
      <c r="B256" s="9">
        <v>356</v>
      </c>
      <c r="C256" s="95" t="s">
        <v>677</v>
      </c>
      <c r="D256" t="str">
        <f>+_xlfn.XLOOKUP(B256,polaris!$B$2:$B$785,polaris!$D$2:$D$785)</f>
        <v>HIDROLÓGICA</v>
      </c>
      <c r="E256"/>
      <c r="F256" s="26">
        <v>16067010</v>
      </c>
      <c r="G256" s="26" t="str" cm="1">
        <f t="array" ref="G256">+_xlfn.XLOOKUP(C256,Hoja1!$E$2:$E$420,Tabla1[Nombre])</f>
        <v>PUERTO BARCO-GABARRA - AUT [16067010]</v>
      </c>
      <c r="H256" t="str">
        <f>+_xlfn.XLOOKUP(F256,Tabla1[Codigo],Tabla1[Nombre])</f>
        <v>PUERTO BARCO-GABARRA - AUT [16067010]</v>
      </c>
      <c r="I256" t="str">
        <f>+_xlfn.XLOOKUP(F256,Hoja5!$C$2:$C$420,Hoja5!$G$2:$G$420)</f>
        <v>OFFLINE MANUAL</v>
      </c>
      <c r="J256" t="str" cm="1">
        <f t="array" ref="J256">+_xlfn.XLOOKUP(F256,Hoja5!$C$2:$C$420,Hoja5!$H$2:H$420)</f>
        <v>ORDEN PÚBLICO</v>
      </c>
      <c r="L256" t="str">
        <f>+_xlfn.XLOOKUP(B256,polaris!$B$2:$B$785,polaris!$C$2:$C$785)</f>
        <v>PUERTO BARCO-GABARRA - AUT [16067010; NDS; HID; INMARSAT; AO08; FONDO ADAPTACION]</v>
      </c>
      <c r="M256" t="b">
        <f t="shared" si="3"/>
        <v>1</v>
      </c>
    </row>
    <row r="257" spans="1:13" x14ac:dyDescent="0.25">
      <c r="A257" s="9">
        <v>256</v>
      </c>
      <c r="B257" s="9">
        <v>357</v>
      </c>
      <c r="C257" s="10" t="s">
        <v>678</v>
      </c>
      <c r="D257" t="str">
        <f>+_xlfn.XLOOKUP(B257,polaris!$B$2:$B$785,polaris!$D$2:$D$785)</f>
        <v>METEOROLÓGICA</v>
      </c>
      <c r="E257"/>
      <c r="F257" s="26">
        <v>2319500137</v>
      </c>
      <c r="G257" s="26" t="str" cm="1">
        <f t="array" ref="G257">+_xlfn.XLOOKUP(C257,Hoja1!$E$2:$E$420,Tabla1[Nombre])</f>
        <v>VETAS - AUT   [2319500137]</v>
      </c>
      <c r="H257" t="str">
        <f>+_xlfn.XLOOKUP(F257,Tabla1[Codigo],Tabla1[Nombre])</f>
        <v>VETAS - AUT   [2319500137]</v>
      </c>
      <c r="I257" t="str">
        <f>+_xlfn.XLOOKUP(F257,Hoja5!$C$2:$C$420,Hoja5!$G$2:$G$420)</f>
        <v>DESCONECTADO</v>
      </c>
      <c r="J257" t="str" cm="1">
        <f t="array" ref="J257">+_xlfn.XLOOKUP(F257,Hoja5!$C$2:$C$420,Hoja5!$H$2:H$420)</f>
        <v>INMARSAT</v>
      </c>
      <c r="L257" t="str">
        <f>+_xlfn.XLOOKUP(B257,polaris!$B$2:$B$785,polaris!$C$2:$C$785)</f>
        <v>VETAS - AUT   [2319500137; SAN; MET; CP; N; AO08; H10; GCAICEDO; 45-15; IPWD; R24; ; ; ]</v>
      </c>
      <c r="M257" t="b">
        <f t="shared" si="3"/>
        <v>1</v>
      </c>
    </row>
    <row r="258" spans="1:13" x14ac:dyDescent="0.25">
      <c r="A258" s="9">
        <v>257</v>
      </c>
      <c r="B258" s="9">
        <v>358</v>
      </c>
      <c r="C258" s="10" t="s">
        <v>679</v>
      </c>
      <c r="D258" t="str">
        <f>+_xlfn.XLOOKUP(B258,polaris!$B$2:$B$785,polaris!$D$2:$D$785)</f>
        <v>METEOROLÓGICA</v>
      </c>
      <c r="E258"/>
      <c r="F258" s="26">
        <v>2319500125</v>
      </c>
      <c r="G258" s="26" t="str" cm="1">
        <f t="array" ref="G258">+_xlfn.XLOOKUP(C258,Hoja1!$E$2:$E$420,Tabla1[Nombre])</f>
        <v>POLIDEPORTIVO CACHIRA - AUT   [2319500125]</v>
      </c>
      <c r="H258" t="str">
        <f>+_xlfn.XLOOKUP(F258,Tabla1[Codigo],Tabla1[Nombre])</f>
        <v>POLIDEPORTIVO CACHIRA - AUT   [2319500125]</v>
      </c>
      <c r="I258" t="str">
        <f>+_xlfn.XLOOKUP(F258,Hoja5!$C$2:$C$420,Hoja5!$G$2:$G$420)</f>
        <v>EN LINEA</v>
      </c>
      <c r="J258" t="str" cm="1">
        <f t="array" ref="J258">+_xlfn.XLOOKUP(F258,Hoja5!$C$2:$C$420,Hoja5!$H$2:H$420)</f>
        <v>GPRS</v>
      </c>
      <c r="L258" t="str">
        <f>+_xlfn.XLOOKUP(B258,polaris!$B$2:$B$785,polaris!$C$2:$C$785)</f>
        <v>POLIDEPORTIVO CACHIRA - AUT   [2319500125; AO 08; MET; GPRS; FONTO ADAPTACION]</v>
      </c>
      <c r="M258" t="b">
        <f t="shared" si="3"/>
        <v>1</v>
      </c>
    </row>
    <row r="259" spans="1:13" x14ac:dyDescent="0.25">
      <c r="A259" s="9">
        <v>258</v>
      </c>
      <c r="B259" s="9">
        <v>359</v>
      </c>
      <c r="C259" s="10" t="s">
        <v>680</v>
      </c>
      <c r="D259" t="str">
        <f>+_xlfn.XLOOKUP(B259,polaris!$B$2:$B$785,polaris!$D$2:$D$785)</f>
        <v>HIDROLÓGICA</v>
      </c>
      <c r="E259"/>
      <c r="F259" s="26">
        <v>37017040</v>
      </c>
      <c r="G259" s="26" t="str" cm="1">
        <f t="array" ref="G259">+_xlfn.XLOOKUP(C259,Hoja1!$E$2:$E$420,Tabla1[Nombre])</f>
        <v>PUENTE LOPEZ - AUT [37017040]</v>
      </c>
      <c r="H259" t="str">
        <f>+_xlfn.XLOOKUP(F259,Tabla1[Codigo],Tabla1[Nombre])</f>
        <v>PUENTE LOPEZ - AUT [37017040]</v>
      </c>
      <c r="I259" t="str">
        <f>+_xlfn.XLOOKUP(F259,Hoja5!$C$2:$C$420,Hoja5!$G$2:$G$420)</f>
        <v>DESCONECTADO</v>
      </c>
      <c r="J259" t="str" cm="1">
        <f t="array" ref="J259">+_xlfn.XLOOKUP(F259,Hoja5!$C$2:$C$420,Hoja5!$H$2:H$420)</f>
        <v>INMARSAT</v>
      </c>
      <c r="L259" t="str">
        <f>+_xlfn.XLOOKUP(B259,polaris!$B$2:$B$785,polaris!$C$2:$C$785)</f>
        <v>PUENTE LOPEZ - AUT [37017040; NDS; HID; INMARSAT; AO08; FONDO ADAPTACION]</v>
      </c>
      <c r="M259" t="b">
        <f t="shared" ref="M259:M322" si="4">+L259=C259</f>
        <v>1</v>
      </c>
    </row>
    <row r="260" spans="1:13" x14ac:dyDescent="0.25">
      <c r="A260" s="9">
        <v>259</v>
      </c>
      <c r="B260" s="9">
        <v>360</v>
      </c>
      <c r="C260" s="10" t="s">
        <v>681</v>
      </c>
      <c r="D260" t="str">
        <f>+_xlfn.XLOOKUP(B260,polaris!$B$2:$B$785,polaris!$D$2:$D$785)</f>
        <v>HIDROLÓGICA</v>
      </c>
      <c r="E260"/>
      <c r="F260" s="26">
        <v>37027010</v>
      </c>
      <c r="G260" s="26" t="str" cm="1">
        <f t="array" ref="G260">+_xlfn.XLOOKUP(C260,Hoja1!$E$2:$E$420,Tabla1[Nombre])</f>
        <v>PEÑA DE LOS MICOS - AUT [37027010]</v>
      </c>
      <c r="H260" t="str">
        <f>+_xlfn.XLOOKUP(F260,Tabla1[Codigo],Tabla1[Nombre])</f>
        <v>PEÑA DE LOS MICOS - AUT [37027010]</v>
      </c>
      <c r="I260" t="str">
        <f>+_xlfn.XLOOKUP(F260,Hoja5!$C$2:$C$420,Hoja5!$G$2:$G$420)</f>
        <v>OFFLINE MANUAL</v>
      </c>
      <c r="J260" t="str" cm="1">
        <f t="array" ref="J260">+_xlfn.XLOOKUP(F260,Hoja5!$C$2:$C$420,Hoja5!$H$2:H$420)</f>
        <v>ORDEN PÚBLICO</v>
      </c>
      <c r="L260" t="str">
        <f>+_xlfn.XLOOKUP(B260,polaris!$B$2:$B$785,polaris!$C$2:$C$785)</f>
        <v>PEÑA DE LOS MICOS - AUT [37027010; NDS; HID; INMARSAT; AO08; FONDO ADAPTACION]</v>
      </c>
      <c r="M260" t="b">
        <f t="shared" si="4"/>
        <v>1</v>
      </c>
    </row>
    <row r="261" spans="1:13" x14ac:dyDescent="0.25">
      <c r="A261" s="9">
        <v>260</v>
      </c>
      <c r="B261" s="9">
        <v>361</v>
      </c>
      <c r="C261" s="95" t="s">
        <v>682</v>
      </c>
      <c r="D261" t="str">
        <f>+_xlfn.XLOOKUP(B261,polaris!$B$2:$B$785,polaris!$D$2:$D$785)</f>
        <v>HIDROLÓGICA</v>
      </c>
      <c r="E261"/>
      <c r="F261" s="26">
        <v>37037010</v>
      </c>
      <c r="G261" s="26" t="str" cm="1">
        <f t="array" ref="G261">+_xlfn.XLOOKUP(C261,Hoja1!$E$2:$E$420,Tabla1[Nombre])</f>
        <v>PASO DE LA CANOA - AUT [37037010]</v>
      </c>
      <c r="H261" t="str">
        <f>+_xlfn.XLOOKUP(F261,Tabla1[Codigo],Tabla1[Nombre])</f>
        <v>PASO DE LA CANOA - AUT [37037010]</v>
      </c>
      <c r="I261" t="str">
        <f>+_xlfn.XLOOKUP(F261,Hoja5!$C$2:$C$420,Hoja5!$G$2:$G$420)</f>
        <v>OFFLINE MANUAL</v>
      </c>
      <c r="J261" t="str" cm="1">
        <f t="array" ref="J261">+_xlfn.XLOOKUP(F261,Hoja5!$C$2:$C$420,Hoja5!$H$2:H$420)</f>
        <v>ORDEN PÚBLICO</v>
      </c>
      <c r="L261" t="str">
        <f>+_xlfn.XLOOKUP(B261,polaris!$B$2:$B$785,polaris!$C$2:$C$785)</f>
        <v>PASO DE LA CANOA - AUT [37037010; BOY; HID; INMARSAT; AO08; FONDO ADAPTACION]</v>
      </c>
      <c r="M261" t="b">
        <f t="shared" si="4"/>
        <v>1</v>
      </c>
    </row>
    <row r="262" spans="1:13" x14ac:dyDescent="0.25">
      <c r="A262" s="9">
        <v>261</v>
      </c>
      <c r="B262" s="9">
        <v>362</v>
      </c>
      <c r="C262" s="10" t="s">
        <v>683</v>
      </c>
      <c r="D262" t="str">
        <f>+_xlfn.XLOOKUP(B262,polaris!$B$2:$B$785,polaris!$D$2:$D$785)</f>
        <v>METEOROLÓGICA</v>
      </c>
      <c r="E262"/>
      <c r="F262" s="26">
        <v>3702500113</v>
      </c>
      <c r="G262" s="26" t="str" cm="1">
        <f t="array" ref="G262">+_xlfn.XLOOKUP(C262,Hoja1!$E$2:$E$420,Tabla1[Nombre])</f>
        <v>CAMPO HERMOSO - AUT   [3702500113]</v>
      </c>
      <c r="H262" t="str">
        <f>+_xlfn.XLOOKUP(F262,Tabla1[Codigo],Tabla1[Nombre])</f>
        <v>CAMPO HERMOSO - AUT   [3702500113]</v>
      </c>
      <c r="I262" t="str">
        <f>+_xlfn.XLOOKUP(F262,Hoja5!$C$2:$C$420,Hoja5!$G$2:$G$420)</f>
        <v>OFFLINE MANUAL</v>
      </c>
      <c r="J262" t="str" cm="1">
        <f t="array" ref="J262">+_xlfn.XLOOKUP(F262,Hoja5!$C$2:$C$420,Hoja5!$H$2:H$420)</f>
        <v>PROC SUSPENSION</v>
      </c>
      <c r="L262" t="str">
        <f>+_xlfn.XLOOKUP(B262,polaris!$B$2:$B$785,polaris!$C$2:$C$785)</f>
        <v>CAMPO HERMOSO - AUT   [3702500113; NDS; MET; CP; N; AO08; H8; DOSPINA; 55-5; IPWD; R24; FNCM]</v>
      </c>
      <c r="M262" t="b">
        <f t="shared" si="4"/>
        <v>1</v>
      </c>
    </row>
    <row r="263" spans="1:13" x14ac:dyDescent="0.25">
      <c r="A263" s="9">
        <v>262</v>
      </c>
      <c r="B263" s="9">
        <v>364</v>
      </c>
      <c r="C263" s="10" t="s">
        <v>684</v>
      </c>
      <c r="D263" t="str">
        <f>+_xlfn.XLOOKUP(B263,polaris!$B$2:$B$785,polaris!$D$2:$D$785)</f>
        <v>METEOROLÓGICA</v>
      </c>
      <c r="E263"/>
      <c r="F263" s="26">
        <v>2401500052</v>
      </c>
      <c r="G263" s="26" t="str" cm="1">
        <f t="array" ref="G263">+_xlfn.XLOOKUP(C263,Hoja1!$E$2:$E$420,Tabla1[Nombre])</f>
        <v>PUENTE GUILLERMO - AUT  [2401500052]</v>
      </c>
      <c r="H263" t="str">
        <f>+_xlfn.XLOOKUP(F263,Tabla1[Codigo],Tabla1[Nombre])</f>
        <v>PUENTE GUILLERMO - AUT  [2401500052]</v>
      </c>
      <c r="I263" t="str">
        <f>+_xlfn.XLOOKUP(F263,Hoja5!$C$2:$C$420,Hoja5!$G$2:$G$420)</f>
        <v>EN LINEA</v>
      </c>
      <c r="J263" t="str" cm="1">
        <f t="array" ref="J263">+_xlfn.XLOOKUP(F263,Hoja5!$C$2:$C$420,Hoja5!$H$2:H$420)</f>
        <v>GPRS</v>
      </c>
      <c r="L263" t="str">
        <f>+_xlfn.XLOOKUP(B263,polaris!$B$2:$B$785,polaris!$C$2:$C$785)</f>
        <v>PUENTE GUILLERMO - AUT  [2401500052; AO 08; MET; GPRS; FONDO ADAPTACION]</v>
      </c>
      <c r="M263" t="b">
        <f t="shared" si="4"/>
        <v>1</v>
      </c>
    </row>
    <row r="264" spans="1:13" x14ac:dyDescent="0.25">
      <c r="A264" s="9">
        <v>263</v>
      </c>
      <c r="B264" s="9">
        <v>365</v>
      </c>
      <c r="C264" s="10" t="s">
        <v>685</v>
      </c>
      <c r="D264" t="str">
        <f>+_xlfn.XLOOKUP(B264,polaris!$B$2:$B$785,polaris!$D$2:$D$785)</f>
        <v>HIDROLÓGICA</v>
      </c>
      <c r="E264"/>
      <c r="F264" s="26">
        <v>24017590</v>
      </c>
      <c r="G264" s="26" t="str" cm="1">
        <f t="array" ref="G264">+_xlfn.XLOOKUP(C264,Hoja1!$E$2:$E$420,Tabla1[Nombre])</f>
        <v>PUENTE NACIONAL - AUT [24017590]</v>
      </c>
      <c r="H264" t="str">
        <f>+_xlfn.XLOOKUP(F264,Tabla1[Codigo],Tabla1[Nombre])</f>
        <v>PUENTE NACIONAL - AUT [24017590]</v>
      </c>
      <c r="I264" t="str">
        <f>+_xlfn.XLOOKUP(F264,Hoja5!$C$2:$C$420,Hoja5!$G$2:$G$420)</f>
        <v>EN LINEA</v>
      </c>
      <c r="J264" t="str" cm="1">
        <f t="array" ref="J264">+_xlfn.XLOOKUP(F264,Hoja5!$C$2:$C$420,Hoja5!$H$2:H$420)</f>
        <v>GPRS</v>
      </c>
      <c r="L264" t="str">
        <f>+_xlfn.XLOOKUP(B264,polaris!$B$2:$B$785,polaris!$C$2:$C$785)</f>
        <v>PUENTE NACIONAL - AUT [24017590; AO 08; HID; GPRS; FONDO ADAPTACION]</v>
      </c>
      <c r="M264" t="b">
        <f t="shared" si="4"/>
        <v>1</v>
      </c>
    </row>
    <row r="265" spans="1:13" x14ac:dyDescent="0.25">
      <c r="A265" s="9">
        <v>264</v>
      </c>
      <c r="B265" s="9">
        <v>366</v>
      </c>
      <c r="C265" s="10" t="s">
        <v>686</v>
      </c>
      <c r="D265" t="str">
        <f>+_xlfn.XLOOKUP(B265,polaris!$B$2:$B$785,polaris!$D$2:$D$785)</f>
        <v>HIDROLÓGICA</v>
      </c>
      <c r="E265"/>
      <c r="F265" s="26">
        <v>2401700091</v>
      </c>
      <c r="G265" s="26" t="str" cm="1">
        <f t="array" ref="G265">+_xlfn.XLOOKUP(C265,Hoja1!$E$2:$E$420,Tabla1[Nombre])</f>
        <v>LAS MINAS - AUT   [2401700091]</v>
      </c>
      <c r="H265" t="str">
        <f>+_xlfn.XLOOKUP(F265,Tabla1[Codigo],Tabla1[Nombre])</f>
        <v>LAS MINAS - AUT   [2401700091]</v>
      </c>
      <c r="I265" t="str">
        <f>+_xlfn.XLOOKUP(F265,Hoja5!$C$2:$C$420,Hoja5!$G$2:$G$420)</f>
        <v>OFFLINE MANUAL</v>
      </c>
      <c r="J265" t="str" cm="1">
        <f t="array" ref="J265">+_xlfn.XLOOKUP(F265,Hoja5!$C$2:$C$420,Hoja5!$H$2:H$420)</f>
        <v>PROC SUSPENSION</v>
      </c>
      <c r="L265" t="str">
        <f>+_xlfn.XLOOKUP(B265,polaris!$B$2:$B$785,polaris!$C$2:$C$785)</f>
        <v>LAS MINAS - AUT   [2401700091;SAN;HID;LG;N;AO08;H8; GCAICEDO; 55-5; IPWD; R24;FNCM; ;]</v>
      </c>
      <c r="M265" t="b">
        <f t="shared" si="4"/>
        <v>1</v>
      </c>
    </row>
    <row r="266" spans="1:13" x14ac:dyDescent="0.25">
      <c r="A266" s="9">
        <v>265</v>
      </c>
      <c r="B266" s="9">
        <v>367</v>
      </c>
      <c r="C266" s="10" t="s">
        <v>687</v>
      </c>
      <c r="D266" t="str">
        <f>+_xlfn.XLOOKUP(B266,polaris!$B$2:$B$785,polaris!$D$2:$D$785)</f>
        <v>METEOROLÓGICA</v>
      </c>
      <c r="E266"/>
      <c r="F266" s="26">
        <v>24030680</v>
      </c>
      <c r="G266" s="26" t="str" cm="1">
        <f t="array" ref="G266">+_xlfn.XLOOKUP(C266,Hoja1!$E$2:$E$420,Tabla1[Nombre])</f>
        <v>EL PARAMO - AUT [24030680]</v>
      </c>
      <c r="H266" t="str">
        <f>+_xlfn.XLOOKUP(F266,Tabla1[Codigo],Tabla1[Nombre])</f>
        <v>EL PARAMO - AUT [24030680]</v>
      </c>
      <c r="I266" t="str">
        <f>+_xlfn.XLOOKUP(F266,Hoja5!$C$2:$C$420,Hoja5!$G$2:$G$420)</f>
        <v>DESCONECTADO</v>
      </c>
      <c r="J266" t="str" cm="1">
        <f t="array" ref="J266">+_xlfn.XLOOKUP(F266,Hoja5!$C$2:$C$420,Hoja5!$H$2:H$420)</f>
        <v>INMARSAT</v>
      </c>
      <c r="L266" t="str">
        <f>+_xlfn.XLOOKUP(B266,polaris!$B$2:$B$785,polaris!$C$2:$C$785)</f>
        <v>EL PARAMO - AUT [24030680; SAN; MET; CP; N; AO08; H7; DOSPINA; 0; IPWD; R24;FNCM; ; ]</v>
      </c>
      <c r="M266" t="b">
        <f t="shared" si="4"/>
        <v>1</v>
      </c>
    </row>
    <row r="267" spans="1:13" x14ac:dyDescent="0.25">
      <c r="A267" s="9">
        <v>266</v>
      </c>
      <c r="B267" s="9">
        <v>368</v>
      </c>
      <c r="C267" s="10" t="s">
        <v>688</v>
      </c>
      <c r="D267" t="str">
        <f>+_xlfn.XLOOKUP(B267,polaris!$B$2:$B$785,polaris!$D$2:$D$785)</f>
        <v>METEOROLÓGICA</v>
      </c>
      <c r="E267"/>
      <c r="F267" s="26">
        <v>3701500117</v>
      </c>
      <c r="G267" s="26" t="str" cm="1">
        <f t="array" ref="G267">+_xlfn.XLOOKUP(C267,Hoja1!$E$2:$E$420,Tabla1[Nombre])</f>
        <v>EL PORTILLO - AUT   [3701500117]</v>
      </c>
      <c r="H267" t="str">
        <f>+_xlfn.XLOOKUP(F267,Tabla1[Codigo],Tabla1[Nombre])</f>
        <v>EL PORTILLO - AUT   [3701500117]</v>
      </c>
      <c r="I267" t="str">
        <f>+_xlfn.XLOOKUP(F267,Hoja5!$C$2:$C$420,Hoja5!$G$2:$G$420)</f>
        <v>DESCONECTADO</v>
      </c>
      <c r="J267" t="str" cm="1">
        <f t="array" ref="J267">+_xlfn.XLOOKUP(F267,Hoja5!$C$2:$C$420,Hoja5!$H$2:H$420)</f>
        <v>INMARSAT</v>
      </c>
      <c r="L267" t="str">
        <f>+_xlfn.XLOOKUP(B267,polaris!$B$2:$B$785,polaris!$C$2:$C$785)</f>
        <v>EL PORTILLO - AUT   [3701500117; NDS; MET; CP; N; AO08; H6; OCARVAJAL; 0; IPWD; R24; FNCM; ; ]</v>
      </c>
      <c r="M267" t="b">
        <f t="shared" si="4"/>
        <v>1</v>
      </c>
    </row>
    <row r="268" spans="1:13" x14ac:dyDescent="0.25">
      <c r="A268" s="9">
        <v>267</v>
      </c>
      <c r="B268" s="9">
        <v>369</v>
      </c>
      <c r="C268" s="10" t="s">
        <v>689</v>
      </c>
      <c r="D268" t="str">
        <f>+_xlfn.XLOOKUP(B268,polaris!$B$2:$B$785,polaris!$D$2:$D$785)</f>
        <v>METEOROLÓGICA</v>
      </c>
      <c r="E268"/>
      <c r="F268" s="26">
        <v>23195110</v>
      </c>
      <c r="G268" s="26" t="str" cm="1">
        <f t="array" ref="G268">+_xlfn.XLOOKUP(C268,Hoja1!$E$2:$E$420,Tabla1[Nombre])</f>
        <v>LLANO GRANDE  - AUT [23195110]</v>
      </c>
      <c r="H268" t="str">
        <f>+_xlfn.XLOOKUP(F268,Tabla1[Codigo],Tabla1[Nombre])</f>
        <v>LLANO GRANDE  - AUT [23195110]</v>
      </c>
      <c r="I268" t="str">
        <f>+_xlfn.XLOOKUP(F268,Hoja5!$C$2:$C$420,Hoja5!$G$2:$G$420)</f>
        <v>EN LINEA</v>
      </c>
      <c r="J268" t="str" cm="1">
        <f t="array" ref="J268">+_xlfn.XLOOKUP(F268,Hoja5!$C$2:$C$420,Hoja5!$H$2:H$420)</f>
        <v>GPRS</v>
      </c>
      <c r="L268" t="str">
        <f>+_xlfn.XLOOKUP(B268,polaris!$B$2:$B$785,polaris!$C$2:$C$785)</f>
        <v>LLANO GRANDE  - AUT [23195110; AO 08; MET; GPRS; FONDO ADAPTACION]</v>
      </c>
      <c r="M268" t="b">
        <f t="shared" si="4"/>
        <v>1</v>
      </c>
    </row>
    <row r="269" spans="1:13" x14ac:dyDescent="0.25">
      <c r="A269" s="9">
        <v>268</v>
      </c>
      <c r="B269" s="9">
        <v>370</v>
      </c>
      <c r="C269" s="10" t="s">
        <v>690</v>
      </c>
      <c r="D269" t="str">
        <f>+_xlfn.XLOOKUP(B269,polaris!$B$2:$B$785,polaris!$D$2:$D$785)</f>
        <v>METEOROLÓGICA</v>
      </c>
      <c r="E269"/>
      <c r="F269" s="26">
        <v>26155150</v>
      </c>
      <c r="G269" s="26" t="str" cm="1">
        <f t="array" ref="G269">+_xlfn.XLOOKUP(C269,Hoja1!$E$2:$E$420,Tabla1[Nombre])</f>
        <v>LAS BRISAS - AUT [26155150]</v>
      </c>
      <c r="H269" t="str">
        <f>+_xlfn.XLOOKUP(F269,Tabla1[Codigo],Tabla1[Nombre])</f>
        <v>LAS BRISAS - AUT [26155150]</v>
      </c>
      <c r="I269" t="str">
        <f>+_xlfn.XLOOKUP(F269,Hoja5!$C$2:$C$420,Hoja5!$G$2:$G$420)</f>
        <v>EN LINEA</v>
      </c>
      <c r="J269" t="str" cm="1">
        <f t="array" ref="J269">+_xlfn.XLOOKUP(F269,Hoja5!$C$2:$C$420,Hoja5!$H$2:H$420)</f>
        <v>GPRS</v>
      </c>
      <c r="L269" t="str">
        <f>+_xlfn.XLOOKUP(B269,polaris!$B$2:$B$785,polaris!$C$2:$C$785)</f>
        <v>LAS BRISAS - AUT [26155150; CAL; MET;WIFI; AO09; FONDO ADAPTACION]</v>
      </c>
      <c r="M269" t="b">
        <f t="shared" si="4"/>
        <v>1</v>
      </c>
    </row>
    <row r="270" spans="1:13" x14ac:dyDescent="0.25">
      <c r="A270" s="9">
        <v>269</v>
      </c>
      <c r="B270" s="9">
        <v>372</v>
      </c>
      <c r="C270" s="10" t="s">
        <v>691</v>
      </c>
      <c r="D270" t="str">
        <f>+_xlfn.XLOOKUP(B270,polaris!$B$2:$B$785,polaris!$D$2:$D$785)</f>
        <v>HIDROLÓGICA</v>
      </c>
      <c r="E270"/>
      <c r="F270" s="26">
        <v>16027280</v>
      </c>
      <c r="G270" s="26" t="str" cm="1">
        <f t="array" ref="G270">+_xlfn.XLOOKUP(C270,Hoja1!$E$2:$E$420,Tabla1[Nombre])</f>
        <v>ASTILLEROS - AUT [16027280]</v>
      </c>
      <c r="H270" t="str">
        <f>+_xlfn.XLOOKUP(F270,Tabla1[Codigo],Tabla1[Nombre])</f>
        <v>ASTILLEROS - AUT [16027280]</v>
      </c>
      <c r="I270" t="str">
        <f>+_xlfn.XLOOKUP(F270,Hoja5!$C$2:$C$420,Hoja5!$G$2:$G$420)</f>
        <v>DESCONECTADO</v>
      </c>
      <c r="J270" t="str" cm="1">
        <f t="array" ref="J270">+_xlfn.XLOOKUP(F270,Hoja5!$C$2:$C$420,Hoja5!$H$2:H$420)</f>
        <v>INMARSAT</v>
      </c>
      <c r="L270" t="str">
        <f>+_xlfn.XLOOKUP(B270,polaris!$B$2:$B$785,polaris!$C$2:$C$785)</f>
        <v>ASTILLEROS - AUT [16027280; NDS; HID; INMARSAT; AO08; FONDO ADAPTACION]</v>
      </c>
      <c r="M270" t="b">
        <f t="shared" si="4"/>
        <v>1</v>
      </c>
    </row>
    <row r="271" spans="1:13" x14ac:dyDescent="0.25">
      <c r="A271" s="9">
        <v>270</v>
      </c>
      <c r="B271" s="9">
        <v>373</v>
      </c>
      <c r="C271" s="10" t="s">
        <v>692</v>
      </c>
      <c r="D271" t="str">
        <f>+_xlfn.XLOOKUP(B271,polaris!$B$2:$B$785,polaris!$D$2:$D$785)</f>
        <v>HIDROLÓGICA</v>
      </c>
      <c r="E271"/>
      <c r="F271" s="26">
        <v>1605700152</v>
      </c>
      <c r="G271" s="26" t="str" cm="1">
        <f t="array" ref="G271">+_xlfn.XLOOKUP(C271,Hoja1!$E$2:$E$420,Tabla1[Nombre])</f>
        <v>PALO GRANDE - AUT   [1605700152]</v>
      </c>
      <c r="H271" t="str">
        <f>+_xlfn.XLOOKUP(F271,Tabla1[Codigo],Tabla1[Nombre])</f>
        <v>PALO GRANDE - AUT   [1605700152]</v>
      </c>
      <c r="I271" t="str">
        <f>+_xlfn.XLOOKUP(F271,Hoja5!$C$2:$C$420,Hoja5!$G$2:$G$420)</f>
        <v>OFFLINE MANUAL</v>
      </c>
      <c r="J271" t="str" cm="1">
        <f t="array" ref="J271">+_xlfn.XLOOKUP(F271,Hoja5!$C$2:$C$420,Hoja5!$H$2:H$420)</f>
        <v>PROC SUSPENSION</v>
      </c>
      <c r="L271" t="str">
        <f>+_xlfn.XLOOKUP(B271,polaris!$B$2:$B$785,polaris!$C$2:$C$785)</f>
        <v>PALO GRANDE - AUT   [1605700152;NDS;HID;LG;N;AO08;H8; GCAICEDO; 40-10; IPWD; R24;FNCM;5.8.8; ]</v>
      </c>
      <c r="M271" t="b">
        <f t="shared" si="4"/>
        <v>1</v>
      </c>
    </row>
    <row r="272" spans="1:13" x14ac:dyDescent="0.25">
      <c r="A272" s="9">
        <v>271</v>
      </c>
      <c r="B272" s="9">
        <v>374</v>
      </c>
      <c r="C272" s="95" t="s">
        <v>693</v>
      </c>
      <c r="D272" t="str">
        <f>+_xlfn.XLOOKUP(B272,polaris!$B$2:$B$785,polaris!$D$2:$D$785)</f>
        <v>HIDROLÓGICA</v>
      </c>
      <c r="E272"/>
      <c r="F272" s="26">
        <v>23107020</v>
      </c>
      <c r="G272" s="26" t="str" cm="1">
        <f t="array" ref="G272">+_xlfn.XLOOKUP(C272,Hoja1!$E$2:$E$420,Tabla1[Nombre])</f>
        <v>LA BODEGA - AUT [23107020]</v>
      </c>
      <c r="H272" t="str">
        <f>+_xlfn.XLOOKUP(F272,Tabla1[Codigo],Tabla1[Nombre])</f>
        <v>LA BODEGA - AUT [23107020]</v>
      </c>
      <c r="I272" t="str">
        <f>+_xlfn.XLOOKUP(F272,Hoja5!$C$2:$C$420,Hoja5!$G$2:$G$420)</f>
        <v>DESCONECTADO</v>
      </c>
      <c r="J272" t="str" cm="1">
        <f t="array" ref="J272">+_xlfn.XLOOKUP(F272,Hoja5!$C$2:$C$420,Hoja5!$H$2:H$420)</f>
        <v>INMARSAT</v>
      </c>
      <c r="L272" t="str">
        <f>+_xlfn.XLOOKUP(B272,polaris!$B$2:$B$785,polaris!$C$2:$C$785)</f>
        <v>LA BODEGA - AUT [23107020; ANT; HID; INMARSAT; AO08; FONDO ADAPTACION]</v>
      </c>
      <c r="M272" t="b">
        <f t="shared" si="4"/>
        <v>1</v>
      </c>
    </row>
    <row r="273" spans="1:13" x14ac:dyDescent="0.25">
      <c r="A273" s="9">
        <v>272</v>
      </c>
      <c r="B273" s="9">
        <v>375</v>
      </c>
      <c r="C273" s="10" t="s">
        <v>694</v>
      </c>
      <c r="D273" t="str">
        <f>+_xlfn.XLOOKUP(B273,polaris!$B$2:$B$785,polaris!$D$2:$D$785)</f>
        <v>HIDROLÓGICA</v>
      </c>
      <c r="E273"/>
      <c r="F273" s="26">
        <v>2319700096</v>
      </c>
      <c r="G273" s="26" t="str" cm="1">
        <f t="array" ref="G273">+_xlfn.XLOOKUP(C273,Hoja1!$E$2:$E$420,Tabla1[Nombre])</f>
        <v>SAN JUAN DE LOS CHORROS - AUT   [2319700096]</v>
      </c>
      <c r="H273" t="str">
        <f>+_xlfn.XLOOKUP(F273,Tabla1[Codigo],Tabla1[Nombre])</f>
        <v>SAN JUAN DE LOS CHORROS - AUT   [2319700096]</v>
      </c>
      <c r="I273" t="str">
        <f>+_xlfn.XLOOKUP(F273,Hoja5!$C$2:$C$420,Hoja5!$G$2:$G$420)</f>
        <v>DESCONECTADO</v>
      </c>
      <c r="J273" t="str" cm="1">
        <f t="array" ref="J273">+_xlfn.XLOOKUP(F273,Hoja5!$C$2:$C$420,Hoja5!$H$2:H$420)</f>
        <v>INMARSAT</v>
      </c>
      <c r="L273" t="str">
        <f>+_xlfn.XLOOKUP(B273,polaris!$B$2:$B$785,polaris!$C$2:$C$785)</f>
        <v>SAN JUAN DE LOS CHORROS - AUT   [2319700096;SAN;HID;LG;N;AO08; ]</v>
      </c>
      <c r="M273" t="b">
        <f t="shared" si="4"/>
        <v>1</v>
      </c>
    </row>
    <row r="274" spans="1:13" x14ac:dyDescent="0.25">
      <c r="A274" s="9">
        <v>273</v>
      </c>
      <c r="B274" s="9">
        <v>376</v>
      </c>
      <c r="C274" s="10" t="s">
        <v>695</v>
      </c>
      <c r="D274" t="str">
        <f>+_xlfn.XLOOKUP(B274,polaris!$B$2:$B$785,polaris!$D$2:$D$785)</f>
        <v>HIDROLÓGICA</v>
      </c>
      <c r="E274"/>
      <c r="F274" s="26">
        <v>23197700</v>
      </c>
      <c r="G274" s="26" t="str" cm="1">
        <f t="array" ref="G274">+_xlfn.XLOOKUP(C274,Hoja1!$E$2:$E$420,Tabla1[Nombre])</f>
        <v>MAJADAS - AUT [23197700]</v>
      </c>
      <c r="H274" t="str">
        <f>+_xlfn.XLOOKUP(F274,Tabla1[Codigo],Tabla1[Nombre])</f>
        <v>MAJADAS - AUT [23197700]</v>
      </c>
      <c r="I274" t="str">
        <f>+_xlfn.XLOOKUP(F274,Hoja5!$C$2:$C$420,Hoja5!$G$2:$G$420)</f>
        <v>EN LINEA</v>
      </c>
      <c r="J274" t="str" cm="1">
        <f t="array" ref="J274">+_xlfn.XLOOKUP(F274,Hoja5!$C$2:$C$420,Hoja5!$H$2:H$420)</f>
        <v>GPRS</v>
      </c>
      <c r="L274" t="str">
        <f>+_xlfn.XLOOKUP(B274,polaris!$B$2:$B$785,polaris!$C$2:$C$785)</f>
        <v>MAJADAS - AUT [23197700; AO 08; HID; GPRS;  FONDO ADAPTACION]</v>
      </c>
      <c r="M274" t="b">
        <f t="shared" si="4"/>
        <v>1</v>
      </c>
    </row>
    <row r="275" spans="1:13" x14ac:dyDescent="0.25">
      <c r="A275" s="9">
        <v>274</v>
      </c>
      <c r="B275" s="9">
        <v>377</v>
      </c>
      <c r="C275" s="10" t="s">
        <v>696</v>
      </c>
      <c r="D275" t="str">
        <f>+_xlfn.XLOOKUP(B275,polaris!$B$2:$B$785,polaris!$D$2:$D$785)</f>
        <v>METEOROLÓGICA</v>
      </c>
      <c r="E275"/>
      <c r="F275" s="26">
        <v>2319500043</v>
      </c>
      <c r="G275" s="26" t="str" cm="1">
        <f t="array" ref="G275">+_xlfn.XLOOKUP(C275,Hoja1!$E$2:$E$420,Tabla1[Nombre])</f>
        <v>FLORIDABLANCA - AUT   [2319500043]</v>
      </c>
      <c r="H275" t="str">
        <f>+_xlfn.XLOOKUP(F275,Tabla1[Codigo],Tabla1[Nombre])</f>
        <v>FLORIDABLANCA - AUT   [2319500043]</v>
      </c>
      <c r="I275" t="str">
        <f>+_xlfn.XLOOKUP(F275,Hoja5!$C$2:$C$420,Hoja5!$G$2:$G$420)</f>
        <v>EN LINEA</v>
      </c>
      <c r="J275" t="str" cm="1">
        <f t="array" ref="J275">+_xlfn.XLOOKUP(F275,Hoja5!$C$2:$C$420,Hoja5!$H$2:H$420)</f>
        <v>GPRS</v>
      </c>
      <c r="L275" t="str">
        <f>+_xlfn.XLOOKUP(B275,polaris!$B$2:$B$785,polaris!$C$2:$C$785)</f>
        <v>FLORIDABLANCA - AUT   [2319500043; AO 08; MET; GPRS; FONDO ADAPTACION]</v>
      </c>
      <c r="M275" t="b">
        <f t="shared" si="4"/>
        <v>1</v>
      </c>
    </row>
    <row r="276" spans="1:13" x14ac:dyDescent="0.25">
      <c r="A276" s="9">
        <v>275</v>
      </c>
      <c r="B276" s="9">
        <v>378</v>
      </c>
      <c r="C276" s="10" t="s">
        <v>697</v>
      </c>
      <c r="D276" t="str">
        <f>+_xlfn.XLOOKUP(B276,polaris!$B$2:$B$785,polaris!$D$2:$D$785)</f>
        <v>METEOROLÓGICA</v>
      </c>
      <c r="E276"/>
      <c r="F276" s="26">
        <v>23190130</v>
      </c>
      <c r="G276" s="26" t="str" cm="1">
        <f t="array" ref="G276">+_xlfn.XLOOKUP(C276,Hoja1!$E$2:$E$420,Tabla1[Nombre])</f>
        <v>TONA  - AUT [23190130]</v>
      </c>
      <c r="H276" t="str">
        <f>+_xlfn.XLOOKUP(F276,Tabla1[Codigo],Tabla1[Nombre])</f>
        <v>TONA  - AUT [23190130]</v>
      </c>
      <c r="I276" t="str">
        <f>+_xlfn.XLOOKUP(F276,Hoja5!$C$2:$C$420,Hoja5!$G$2:$G$420)</f>
        <v>EN LINEA</v>
      </c>
      <c r="J276" t="str" cm="1">
        <f t="array" ref="J276">+_xlfn.XLOOKUP(F276,Hoja5!$C$2:$C$420,Hoja5!$H$2:H$420)</f>
        <v>GPRS</v>
      </c>
      <c r="L276" t="str">
        <f>+_xlfn.XLOOKUP(B276,polaris!$B$2:$B$785,polaris!$C$2:$C$785)</f>
        <v>TONA  - AUT [23190130; AO 08; MET; GPRS; FONDO ADAPTACION]</v>
      </c>
      <c r="M276" t="b">
        <f t="shared" si="4"/>
        <v>1</v>
      </c>
    </row>
    <row r="277" spans="1:13" x14ac:dyDescent="0.25">
      <c r="A277" s="9">
        <v>276</v>
      </c>
      <c r="B277" s="9">
        <v>379</v>
      </c>
      <c r="C277" s="10" t="s">
        <v>698</v>
      </c>
      <c r="D277" t="str">
        <f>+_xlfn.XLOOKUP(B277,polaris!$B$2:$B$785,polaris!$D$2:$D$785)</f>
        <v>METEOROLÓGICA</v>
      </c>
      <c r="E277"/>
      <c r="F277" s="26">
        <v>3706500109</v>
      </c>
      <c r="G277" s="26" t="str" cm="1">
        <f t="array" ref="G277">+_xlfn.XLOOKUP(C277,Hoja1!$E$2:$E$420,Tabla1[Nombre])</f>
        <v>ARAUCA TERMINAL - AUT [3706500109]</v>
      </c>
      <c r="H277" t="str">
        <f>+_xlfn.XLOOKUP(F277,Tabla1[Codigo],Tabla1[Nombre])</f>
        <v>ARAUCA TERMINAL - AUT [3706500109]</v>
      </c>
      <c r="I277" t="str">
        <f>+_xlfn.XLOOKUP(F277,Hoja5!$C$2:$C$420,Hoja5!$G$2:$G$420)</f>
        <v>EN LINEA</v>
      </c>
      <c r="J277" t="str" cm="1">
        <f t="array" ref="J277">+_xlfn.XLOOKUP(F277,Hoja5!$C$2:$C$420,Hoja5!$H$2:H$420)</f>
        <v>GPRS</v>
      </c>
      <c r="L277" t="str">
        <f>+_xlfn.XLOOKUP(B277,polaris!$B$2:$B$785,polaris!$C$2:$C$785)</f>
        <v>ARAUCA TERMINAL - AUT [3706500109; AO 08; MET; GPRS; FONDO ADAPTACION]</v>
      </c>
      <c r="M277" t="b">
        <f t="shared" si="4"/>
        <v>1</v>
      </c>
    </row>
    <row r="278" spans="1:13" x14ac:dyDescent="0.25">
      <c r="A278" s="9">
        <v>277</v>
      </c>
      <c r="B278" s="9">
        <v>380</v>
      </c>
      <c r="C278" s="10" t="s">
        <v>699</v>
      </c>
      <c r="D278" t="str">
        <f>+_xlfn.XLOOKUP(B278,polaris!$B$2:$B$785,polaris!$D$2:$D$785)</f>
        <v>METEOROLÓGICA</v>
      </c>
      <c r="E278"/>
      <c r="F278" s="26">
        <v>16025040</v>
      </c>
      <c r="G278" s="26" t="str" cm="1">
        <f t="array" ref="G278">+_xlfn.XLOOKUP(C278,Hoja1!$E$2:$E$420,Tabla1[Nombre])</f>
        <v>CINERA-VILLA OLGA AUT [16025040]</v>
      </c>
      <c r="H278" t="str">
        <f>+_xlfn.XLOOKUP(F278,Tabla1[Codigo],Tabla1[Nombre])</f>
        <v>CINERA-VILLA OLGA AUT [16025040]</v>
      </c>
      <c r="I278" t="str">
        <f>+_xlfn.XLOOKUP(F278,Hoja5!$C$2:$C$420,Hoja5!$G$2:$G$420)</f>
        <v>EN LINEA</v>
      </c>
      <c r="J278" t="str" cm="1">
        <f t="array" ref="J278">+_xlfn.XLOOKUP(F278,Hoja5!$C$2:$C$420,Hoja5!$H$2:H$420)</f>
        <v>GPRS</v>
      </c>
      <c r="L278" t="str">
        <f>+_xlfn.XLOOKUP(B278,polaris!$B$2:$B$785,polaris!$C$2:$C$785)</f>
        <v>CINERA-VILLA OLGA [16025040; AO 08; MET; GPRS; FONDO ADAPTACION ]</v>
      </c>
      <c r="M278" t="b">
        <f t="shared" si="4"/>
        <v>1</v>
      </c>
    </row>
    <row r="279" spans="1:13" x14ac:dyDescent="0.25">
      <c r="A279" s="9">
        <v>278</v>
      </c>
      <c r="B279" s="9">
        <v>382</v>
      </c>
      <c r="C279" s="95" t="s">
        <v>700</v>
      </c>
      <c r="D279" t="str">
        <f>+_xlfn.XLOOKUP(B279,polaris!$B$2:$B$785,polaris!$D$2:$D$785)</f>
        <v>HIDROLÓGICA</v>
      </c>
      <c r="E279"/>
      <c r="F279" s="26">
        <v>16037030</v>
      </c>
      <c r="G279" s="26" t="str" cm="1">
        <f t="array" ref="G279">+_xlfn.XLOOKUP(C279,Hoja1!$E$2:$E$420,Tabla1[Nombre])</f>
        <v>PUENTE SARDINATA - AUT [16037030]</v>
      </c>
      <c r="H279" t="str">
        <f>+_xlfn.XLOOKUP(F279,Tabla1[Codigo],Tabla1[Nombre])</f>
        <v>PUENTE SARDINATA - AUT [16037030]</v>
      </c>
      <c r="I279" t="str">
        <f>+_xlfn.XLOOKUP(F279,Hoja5!$C$2:$C$420,Hoja5!$G$2:$G$420)</f>
        <v>OFFLINE MANUAL</v>
      </c>
      <c r="J279" t="str" cm="1">
        <f t="array" ref="J279">+_xlfn.XLOOKUP(F279,Hoja5!$C$2:$C$420,Hoja5!$H$2:H$420)</f>
        <v>ORDEN PÚBLICO</v>
      </c>
      <c r="L279" t="str">
        <f>+_xlfn.XLOOKUP(B279,polaris!$B$2:$B$785,polaris!$C$2:$C$785)</f>
        <v>PUENTE SARDINATA - AUT [16037030; NDS; HID; INMARSAT; AO08; FONDO ADAPTACION]</v>
      </c>
      <c r="M279" t="b">
        <f t="shared" si="4"/>
        <v>1</v>
      </c>
    </row>
    <row r="280" spans="1:13" x14ac:dyDescent="0.25">
      <c r="A280" s="9">
        <v>279</v>
      </c>
      <c r="B280" s="9">
        <v>383</v>
      </c>
      <c r="C280" s="10" t="s">
        <v>701</v>
      </c>
      <c r="D280" t="str">
        <f>+_xlfn.XLOOKUP(B280,polaris!$B$2:$B$785,polaris!$D$2:$D$785)</f>
        <v>METEOROLÓGICA</v>
      </c>
      <c r="E280"/>
      <c r="F280" s="26">
        <v>16040050</v>
      </c>
      <c r="G280" s="26" t="str" cm="1">
        <f t="array" ref="G280">+_xlfn.XLOOKUP(C280,Hoja1!$E$2:$E$420,Tabla1[Nombre])</f>
        <v>LA MARIA - AUT [16040050]</v>
      </c>
      <c r="H280" t="str">
        <f>+_xlfn.XLOOKUP(F280,Tabla1[Codigo],Tabla1[Nombre])</f>
        <v>LA MARIA - AUT [16040050]</v>
      </c>
      <c r="I280" t="str">
        <f>+_xlfn.XLOOKUP(F280,Hoja5!$C$2:$C$420,Hoja5!$G$2:$G$420)</f>
        <v>DESCONECTADO</v>
      </c>
      <c r="J280" t="str" cm="1">
        <f t="array" ref="J280">+_xlfn.XLOOKUP(F280,Hoja5!$C$2:$C$420,Hoja5!$H$2:H$420)</f>
        <v>INMARSAT</v>
      </c>
      <c r="L280" t="str">
        <f>+_xlfn.XLOOKUP(B280,polaris!$B$2:$B$785,polaris!$C$2:$C$785)</f>
        <v>LA MARIA - AUT [16040050; NDS; MET; INMARSAT; AO08; FONDO ADAPTACION]</v>
      </c>
      <c r="M280" t="b">
        <f t="shared" si="4"/>
        <v>1</v>
      </c>
    </row>
    <row r="281" spans="1:13" x14ac:dyDescent="0.25">
      <c r="A281" s="9">
        <v>280</v>
      </c>
      <c r="B281" s="9">
        <v>384</v>
      </c>
      <c r="C281" s="10" t="s">
        <v>702</v>
      </c>
      <c r="D281" t="str">
        <f>+_xlfn.XLOOKUP(B281,polaris!$B$2:$B$785,polaris!$D$2:$D$785)</f>
        <v>HIDROLÓGICA</v>
      </c>
      <c r="E281"/>
      <c r="F281" s="26">
        <v>26147140</v>
      </c>
      <c r="G281" s="26" t="str" cm="1">
        <f t="array" ref="G281">+_xlfn.XLOOKUP(C281,Hoja1!$E$2:$E$420,Tabla1[Nombre])</f>
        <v>PUENTE NEGRO  - AUT [26147140]</v>
      </c>
      <c r="H281" t="str">
        <f>+_xlfn.XLOOKUP(F281,Tabla1[Codigo],Tabla1[Nombre])</f>
        <v>PUENTE NEGRO  - AUT [26147140]</v>
      </c>
      <c r="I281" t="str">
        <f>+_xlfn.XLOOKUP(F281,Hoja5!$C$2:$C$420,Hoja5!$G$2:$G$420)</f>
        <v>EN LINEA</v>
      </c>
      <c r="J281" t="str" cm="1">
        <f t="array" ref="J281">+_xlfn.XLOOKUP(F281,Hoja5!$C$2:$C$420,Hoja5!$H$2:H$420)</f>
        <v>GPRS</v>
      </c>
      <c r="L281" t="str">
        <f>+_xlfn.XLOOKUP(B281,polaris!$B$2:$B$785,polaris!$C$2:$C$785)</f>
        <v>PUENTE NEGRO  - AUT [26147140; AO 09; HID; GPRS; FONDO ADAPTACION]</v>
      </c>
      <c r="M281" t="b">
        <f t="shared" si="4"/>
        <v>1</v>
      </c>
    </row>
    <row r="282" spans="1:13" x14ac:dyDescent="0.25">
      <c r="A282" s="9">
        <v>281</v>
      </c>
      <c r="B282" s="9">
        <v>385</v>
      </c>
      <c r="C282" s="95" t="s">
        <v>703</v>
      </c>
      <c r="D282" t="str">
        <f>+_xlfn.XLOOKUP(B282,polaris!$B$2:$B$785,polaris!$D$2:$D$785)</f>
        <v>HIDROLÓGICA</v>
      </c>
      <c r="E282"/>
      <c r="F282" s="26">
        <v>16057040</v>
      </c>
      <c r="G282" s="26" t="str" cm="1">
        <f t="array" ref="G282">+_xlfn.XLOOKUP(C282,Hoja1!$E$2:$E$420,Tabla1[Nombre])</f>
        <v>QUINCE LETRAS - AUT [16057040]</v>
      </c>
      <c r="H282" t="str">
        <f>+_xlfn.XLOOKUP(F282,Tabla1[Codigo],Tabla1[Nombre])</f>
        <v>QUINCE LETRAS - AUT [16057040]</v>
      </c>
      <c r="I282" t="str">
        <f>+_xlfn.XLOOKUP(F282,Hoja5!$C$2:$C$420,Hoja5!$G$2:$G$420)</f>
        <v>OFFLINE MANUAL</v>
      </c>
      <c r="J282" t="str" cm="1">
        <f t="array" ref="J282">+_xlfn.XLOOKUP(F282,Hoja5!$C$2:$C$420,Hoja5!$H$2:H$420)</f>
        <v>ORDEN PÚBLICO</v>
      </c>
      <c r="L282" t="str">
        <f>+_xlfn.XLOOKUP(B282,polaris!$B$2:$B$785,polaris!$C$2:$C$785)</f>
        <v>QUINCE LETRAS - AUT [16057040; NDS; HID; INMARSAT; AO08; FONDO ADAPTACION]</v>
      </c>
      <c r="M282" t="b">
        <f t="shared" si="4"/>
        <v>1</v>
      </c>
    </row>
    <row r="283" spans="1:13" x14ac:dyDescent="0.25">
      <c r="A283" s="9">
        <v>282</v>
      </c>
      <c r="B283" s="9">
        <v>386</v>
      </c>
      <c r="C283" s="10" t="s">
        <v>704</v>
      </c>
      <c r="D283" t="str">
        <f>+_xlfn.XLOOKUP(B283,polaris!$B$2:$B$785,polaris!$D$2:$D$785)</f>
        <v>HIDROLÓGICA</v>
      </c>
      <c r="E283"/>
      <c r="F283" s="26">
        <v>23127060</v>
      </c>
      <c r="G283" s="26" t="str" cm="1">
        <f t="array" ref="G283">+_xlfn.XLOOKUP(C283,Hoja1!$E$2:$E$420,Tabla1[Nombre])</f>
        <v>SANTA ROSA  - AUT [23127060]</v>
      </c>
      <c r="H283" t="str">
        <f>+_xlfn.XLOOKUP(F283,Tabla1[Codigo],Tabla1[Nombre])</f>
        <v>SANTA ROSA  - AUT [23127060]</v>
      </c>
      <c r="I283" t="str">
        <f>+_xlfn.XLOOKUP(F283,Hoja5!$C$2:$C$420,Hoja5!$G$2:$G$420)</f>
        <v>EN LINEA</v>
      </c>
      <c r="J283" t="str" cm="1">
        <f t="array" ref="J283">+_xlfn.XLOOKUP(F283,Hoja5!$C$2:$C$420,Hoja5!$H$2:H$420)</f>
        <v>GOES</v>
      </c>
      <c r="L283" t="str">
        <f>+_xlfn.XLOOKUP(B283,polaris!$B$2:$B$785,polaris!$C$2:$C$785)</f>
        <v>SANTA ROSA  - AUT [23127060; SAN; HID; GOES; AO08; FONDO ADAPTACION]</v>
      </c>
      <c r="M283" t="b">
        <f t="shared" si="4"/>
        <v>1</v>
      </c>
    </row>
    <row r="284" spans="1:13" x14ac:dyDescent="0.25">
      <c r="A284" s="9">
        <v>283</v>
      </c>
      <c r="B284" s="9">
        <v>388</v>
      </c>
      <c r="C284" s="10" t="s">
        <v>705</v>
      </c>
      <c r="D284" t="str">
        <f>+_xlfn.XLOOKUP(B284,polaris!$B$2:$B$785,polaris!$D$2:$D$785)</f>
        <v>METEOROLÓGICA</v>
      </c>
      <c r="E284"/>
      <c r="F284" s="26">
        <v>23195200</v>
      </c>
      <c r="G284" s="26" t="str" cm="1">
        <f t="array" ref="G284">+_xlfn.XLOOKUP(C284,Hoja1!$E$2:$E$420,Tabla1[Nombre])</f>
        <v>CACHIRI  - AUT [23195200]</v>
      </c>
      <c r="H284" t="str">
        <f>+_xlfn.XLOOKUP(F284,Tabla1[Codigo],Tabla1[Nombre])</f>
        <v>CACHIRI  - AUT [23195200]</v>
      </c>
      <c r="I284" t="str">
        <f>+_xlfn.XLOOKUP(F284,Hoja5!$C$2:$C$420,Hoja5!$G$2:$G$420)</f>
        <v>EN LINEA</v>
      </c>
      <c r="J284" t="str" cm="1">
        <f t="array" ref="J284">+_xlfn.XLOOKUP(F284,Hoja5!$C$2:$C$420,Hoja5!$H$2:H$420)</f>
        <v>GPRS</v>
      </c>
      <c r="L284" t="str">
        <f>+_xlfn.XLOOKUP(B284,polaris!$B$2:$B$785,polaris!$C$2:$C$785)</f>
        <v>CACHIRI  - AUT [23195200; AO 08; MET; GPRS; FONDO ADAPTACION]</v>
      </c>
      <c r="M284" t="b">
        <f t="shared" si="4"/>
        <v>1</v>
      </c>
    </row>
    <row r="285" spans="1:13" x14ac:dyDescent="0.25">
      <c r="A285" s="9">
        <v>284</v>
      </c>
      <c r="B285" s="9">
        <v>390</v>
      </c>
      <c r="C285" s="10" t="s">
        <v>706</v>
      </c>
      <c r="D285" t="str">
        <f>+_xlfn.XLOOKUP(B285,polaris!$B$2:$B$785,polaris!$D$2:$D$785)</f>
        <v>METEOROLÓGICA</v>
      </c>
      <c r="E285"/>
      <c r="F285" s="26">
        <v>23205050</v>
      </c>
      <c r="G285" s="26" t="str" cm="1">
        <f t="array" ref="G285">+_xlfn.XLOOKUP(C285,Hoja1!$E$2:$E$420,Tabla1[Nombre])</f>
        <v>CANELOS  - AUT [23205050]</v>
      </c>
      <c r="H285" t="str">
        <f>+_xlfn.XLOOKUP(F285,Tabla1[Codigo],Tabla1[Nombre])</f>
        <v>CANELOS  - AUT [23205050]</v>
      </c>
      <c r="I285" t="str">
        <f>+_xlfn.XLOOKUP(F285,Hoja5!$C$2:$C$420,Hoja5!$G$2:$G$420)</f>
        <v>OFFLINE MANUAL</v>
      </c>
      <c r="J285" t="str" cm="1">
        <f t="array" ref="J285">+_xlfn.XLOOKUP(F285,Hoja5!$C$2:$C$420,Hoja5!$H$2:H$420)</f>
        <v>ORDEN PÚBLICO</v>
      </c>
      <c r="L285" t="str">
        <f>+_xlfn.XLOOKUP(B285,polaris!$B$2:$B$785,polaris!$C$2:$C$785)</f>
        <v>CANELOS  - AUT [23205050; BOL; MET; INMARSAT; AO08; FONDO ADAPTACION]</v>
      </c>
      <c r="M285" t="b">
        <f t="shared" si="4"/>
        <v>1</v>
      </c>
    </row>
    <row r="286" spans="1:13" x14ac:dyDescent="0.25">
      <c r="A286" s="9">
        <v>285</v>
      </c>
      <c r="B286" s="9">
        <v>391</v>
      </c>
      <c r="C286" s="10" t="s">
        <v>707</v>
      </c>
      <c r="D286" t="str">
        <f>+_xlfn.XLOOKUP(B286,polaris!$B$2:$B$785,polaris!$D$2:$D$785)</f>
        <v>HIDROLÓGICA</v>
      </c>
      <c r="E286"/>
      <c r="F286" s="26">
        <v>2405700149</v>
      </c>
      <c r="G286" s="26" t="str" cm="1">
        <f t="array" ref="G286">+_xlfn.XLOOKUP(C286,Hoja1!$E$2:$E$420,Tabla1[Nombre])</f>
        <v>EL JUNCAL - AUT   [2405700149]</v>
      </c>
      <c r="H286" t="str">
        <f>+_xlfn.XLOOKUP(F286,Tabla1[Codigo],Tabla1[Nombre])</f>
        <v>EL JUNCAL - AUT   [2405700149]</v>
      </c>
      <c r="I286" t="str">
        <f>+_xlfn.XLOOKUP(F286,Hoja5!$C$2:$C$420,Hoja5!$G$2:$G$420)</f>
        <v>OFFLINE MANUAL</v>
      </c>
      <c r="J286" t="str" cm="1">
        <f t="array" ref="J286">+_xlfn.XLOOKUP(F286,Hoja5!$C$2:$C$420,Hoja5!$H$2:H$420)</f>
        <v>PROC SUSPENSION</v>
      </c>
      <c r="L286" t="str">
        <f>+_xlfn.XLOOKUP(B286,polaris!$B$2:$B$785,polaris!$C$2:$C$785)</f>
        <v>EL JUNCAL - AUT   [2405700149; SAN; HID; LG; N; AO08; H9; GCAICEDO; 45-15; IPWD; R24; ; ; ]</v>
      </c>
      <c r="M286" t="b">
        <f t="shared" si="4"/>
        <v>1</v>
      </c>
    </row>
    <row r="287" spans="1:13" x14ac:dyDescent="0.25">
      <c r="A287" s="9">
        <v>286</v>
      </c>
      <c r="B287" s="9">
        <v>392</v>
      </c>
      <c r="C287" s="10" t="s">
        <v>708</v>
      </c>
      <c r="D287" t="str">
        <f>+_xlfn.XLOOKUP(B287,polaris!$B$2:$B$785,polaris!$D$2:$D$785)</f>
        <v>HIDROLÓGICA</v>
      </c>
      <c r="E287"/>
      <c r="F287" s="26">
        <v>26017060</v>
      </c>
      <c r="G287" s="26" t="str" cm="1">
        <f t="array" ref="G287">+_xlfn.XLOOKUP(C287,Hoja1!$E$2:$E$420,Tabla1[Nombre])</f>
        <v>PUENTE ARAGON  - AUT [26017060]</v>
      </c>
      <c r="H287" t="str">
        <f>+_xlfn.XLOOKUP(F287,Tabla1[Codigo],Tabla1[Nombre])</f>
        <v>PUENTE ARAGON  - AUT [26017060]</v>
      </c>
      <c r="I287" t="str">
        <f>+_xlfn.XLOOKUP(F287,Hoja5!$C$2:$C$420,Hoja5!$G$2:$G$420)</f>
        <v>DESCONECTADO</v>
      </c>
      <c r="J287" t="str" cm="1">
        <f t="array" ref="J287">+_xlfn.XLOOKUP(F287,Hoja5!$C$2:$C$420,Hoja5!$H$2:H$420)</f>
        <v>INMARSAT</v>
      </c>
      <c r="L287" t="str">
        <f>+_xlfn.XLOOKUP(B287,polaris!$B$2:$B$785,polaris!$C$2:$C$785)</f>
        <v>PUENTE ARAGON  - AUT [26017060; CAU; HID; INMARSAT; AO09; FONDO ADAPTACION]</v>
      </c>
      <c r="M287" t="b">
        <f t="shared" si="4"/>
        <v>1</v>
      </c>
    </row>
    <row r="288" spans="1:13" x14ac:dyDescent="0.25">
      <c r="A288" s="9">
        <v>287</v>
      </c>
      <c r="B288" s="9">
        <v>393</v>
      </c>
      <c r="C288" s="10" t="s">
        <v>709</v>
      </c>
      <c r="D288" t="str">
        <f>+_xlfn.XLOOKUP(B288,polaris!$B$2:$B$785,polaris!$D$2:$D$785)</f>
        <v>METEOROLÓGICA</v>
      </c>
      <c r="E288"/>
      <c r="F288" s="26">
        <v>2610500131</v>
      </c>
      <c r="G288" s="26" t="str" cm="1">
        <f t="array" ref="G288">+_xlfn.XLOOKUP(C288,Hoja1!$E$2:$E$420,Tabla1[Nombre])</f>
        <v>SANTA LUCIA - AUT   [2610500131]</v>
      </c>
      <c r="H288" t="str">
        <f>+_xlfn.XLOOKUP(F288,Tabla1[Codigo],Tabla1[Nombre])</f>
        <v>SANTA LUCIA - AUT   [2610500131]</v>
      </c>
      <c r="I288" t="str">
        <f>+_xlfn.XLOOKUP(F288,Hoja5!$C$2:$C$420,Hoja5!$G$2:$G$420)</f>
        <v>OFFLINE MANUAL</v>
      </c>
      <c r="J288" t="str" cm="1">
        <f t="array" ref="J288">+_xlfn.XLOOKUP(F288,Hoja5!$C$2:$C$420,Hoja5!$H$2:H$420)</f>
        <v>ORDEN PÚBLICO</v>
      </c>
      <c r="L288" t="str">
        <f>+_xlfn.XLOOKUP(B288,polaris!$B$2:$B$785,polaris!$C$2:$C$785)</f>
        <v>SANTA LUCIA - AUT   [2610500131;VDC;MET; CP;N;AO09;H8; JSOCAMPO; 45-15; IPWD; R24;FNCM; ;]</v>
      </c>
      <c r="M288" t="b">
        <f t="shared" si="4"/>
        <v>1</v>
      </c>
    </row>
    <row r="289" spans="1:13" x14ac:dyDescent="0.25">
      <c r="A289" s="9">
        <v>288</v>
      </c>
      <c r="B289" s="9">
        <v>395</v>
      </c>
      <c r="C289" s="10" t="s">
        <v>710</v>
      </c>
      <c r="D289" t="str">
        <f>+_xlfn.XLOOKUP(B289,polaris!$B$2:$B$785,polaris!$D$2:$D$785)</f>
        <v>METEOROLÓGICA</v>
      </c>
      <c r="E289"/>
      <c r="F289" s="26">
        <v>2615500122</v>
      </c>
      <c r="G289" s="26" t="str" cm="1">
        <f t="array" ref="G289">+_xlfn.XLOOKUP(C289,Hoja1!$E$2:$E$420,Tabla1[Nombre])</f>
        <v>LA ESPERANZA ANDALUCIA - AUT   [2615500122]</v>
      </c>
      <c r="H289" t="str">
        <f>+_xlfn.XLOOKUP(F289,Tabla1[Codigo],Tabla1[Nombre])</f>
        <v>LA ESPERANZA ANDALUCIA - AUT   [2615500122]</v>
      </c>
      <c r="I289" t="str">
        <f>+_xlfn.XLOOKUP(F289,Hoja5!$C$2:$C$420,Hoja5!$G$2:$G$420)</f>
        <v>EN LINEA</v>
      </c>
      <c r="J289" t="str" cm="1">
        <f t="array" ref="J289">+_xlfn.XLOOKUP(F289,Hoja5!$C$2:$C$420,Hoja5!$H$2:H$420)</f>
        <v>GPRS</v>
      </c>
      <c r="L289" t="str">
        <f>+_xlfn.XLOOKUP(B289,polaris!$B$2:$B$785,polaris!$C$2:$C$785)</f>
        <v>LA ESPERANZA ANDALUCIA - AUT   [2615500122; GPRS; MET; AO09; FONDO DE ADAPTACION ]</v>
      </c>
      <c r="M289" t="b">
        <f t="shared" si="4"/>
        <v>1</v>
      </c>
    </row>
    <row r="290" spans="1:13" x14ac:dyDescent="0.25">
      <c r="A290" s="9">
        <v>289</v>
      </c>
      <c r="B290" s="9">
        <v>396</v>
      </c>
      <c r="C290" s="10" t="s">
        <v>711</v>
      </c>
      <c r="D290" t="str">
        <f>+_xlfn.XLOOKUP(B290,polaris!$B$2:$B$785,polaris!$D$2:$D$785)</f>
        <v>METEOROLÓGICA</v>
      </c>
      <c r="E290"/>
      <c r="F290" s="26">
        <v>2603500127</v>
      </c>
      <c r="G290" s="26" t="str" cm="1">
        <f t="array" ref="G290">+_xlfn.XLOOKUP(C290,Hoja1!$E$2:$E$420,Tabla1[Nombre])</f>
        <v>REMOLINO ALERTAS - EL VOLCAN - AUT   [2603500127]</v>
      </c>
      <c r="H290" t="str">
        <f>+_xlfn.XLOOKUP(F290,Tabla1[Codigo],Tabla1[Nombre])</f>
        <v>REMOLINO ALERTAS - EL VOLCAN - AUT   [2603500127]</v>
      </c>
      <c r="I290" t="str">
        <f>+_xlfn.XLOOKUP(F290,Hoja5!$C$2:$C$420,Hoja5!$G$2:$G$420)</f>
        <v>OFFLINE MANUAL</v>
      </c>
      <c r="J290" t="str" cm="1">
        <f t="array" ref="J290">+_xlfn.XLOOKUP(F290,Hoja5!$C$2:$C$420,Hoja5!$H$2:H$420)</f>
        <v>ORDEN PÚBLICO</v>
      </c>
      <c r="L290" t="str">
        <f>+_xlfn.XLOOKUP(B290,polaris!$B$2:$B$785,polaris!$C$2:$C$785)</f>
        <v>REMOLINO ALERTAS - EL VOLCAN - AUT   [2603500127; CAU; MET; CP; N; AO09; H6; DOSPINA; 45-15; IPWD; R24; FNCM; ; ]</v>
      </c>
      <c r="M290" t="b">
        <f t="shared" si="4"/>
        <v>1</v>
      </c>
    </row>
    <row r="291" spans="1:13" x14ac:dyDescent="0.25">
      <c r="A291" s="9">
        <v>290</v>
      </c>
      <c r="B291" s="9">
        <v>398</v>
      </c>
      <c r="C291" s="10" t="s">
        <v>712</v>
      </c>
      <c r="D291" t="str">
        <f>+_xlfn.XLOOKUP(B291,polaris!$B$2:$B$785,polaris!$D$2:$D$785)</f>
        <v>HIDROLÓGICA</v>
      </c>
      <c r="E291"/>
      <c r="F291" s="26">
        <v>52017100</v>
      </c>
      <c r="G291" s="26" t="str" cm="1">
        <f t="array" ref="G291">+_xlfn.XLOOKUP(C291,Hoja1!$E$2:$E$420,Tabla1[Nombre])</f>
        <v>PUENTE CARRETERA [52017100]  (CAMBIO DE AREA OPERATIVA)</v>
      </c>
      <c r="H291" t="str">
        <f>+_xlfn.XLOOKUP(F291,Tabla1[Codigo],Tabla1[Nombre])</f>
        <v>PUENTE CARRETERA [52017100]  (CAMBIO DE AREA OPERATIVA)</v>
      </c>
      <c r="I291" t="str">
        <f>+_xlfn.XLOOKUP(F291,Hoja5!$C$2:$C$420,Hoja5!$G$2:$G$420)</f>
        <v>OFFLINE MANUAL</v>
      </c>
      <c r="J291" t="str" cm="1">
        <f t="array" ref="J291">+_xlfn.XLOOKUP(F291,Hoja5!$C$2:$C$420,Hoja5!$H$2:H$420)</f>
        <v>ORDEN PÚBLICO</v>
      </c>
      <c r="L291" t="str">
        <f>+_xlfn.XLOOKUP(B291,polaris!$B$2:$B$785,polaris!$C$2:$C$785)</f>
        <v>PUENTE CARRETERA [52017100; AO 07; ORDEN PUBLICO]</v>
      </c>
      <c r="M291" t="b">
        <f t="shared" si="4"/>
        <v>1</v>
      </c>
    </row>
    <row r="292" spans="1:13" x14ac:dyDescent="0.25">
      <c r="A292" s="9">
        <v>291</v>
      </c>
      <c r="B292" s="9">
        <v>399</v>
      </c>
      <c r="C292" s="10" t="s">
        <v>713</v>
      </c>
      <c r="D292" t="str">
        <f>+_xlfn.XLOOKUP(B292,polaris!$B$2:$B$785,polaris!$D$2:$D$785)</f>
        <v>HIDROLÓGICA</v>
      </c>
      <c r="E292"/>
      <c r="F292" s="26">
        <v>26167070</v>
      </c>
      <c r="G292" s="26" t="str" cm="1">
        <f t="array" ref="G292">+_xlfn.XLOOKUP(C292,Hoja1!$E$2:$E$420,Tabla1[Nombre])</f>
        <v>IRRA  - AUT [26167070]</v>
      </c>
      <c r="H292" t="str">
        <f>+_xlfn.XLOOKUP(F292,Tabla1[Codigo],Tabla1[Nombre])</f>
        <v>IRRA  - AUT [26167070]</v>
      </c>
      <c r="I292" t="str">
        <f>+_xlfn.XLOOKUP(F292,Hoja5!$C$2:$C$420,Hoja5!$G$2:$G$420)</f>
        <v>DESCONECTADO</v>
      </c>
      <c r="J292" t="str" cm="1">
        <f t="array" ref="J292">+_xlfn.XLOOKUP(F292,Hoja5!$C$2:$C$420,Hoja5!$H$2:H$420)</f>
        <v>GPRS</v>
      </c>
      <c r="L292" t="str">
        <f>+_xlfn.XLOOKUP(B292,polaris!$B$2:$B$785,polaris!$C$2:$C$785)</f>
        <v>IRRA  - AUT [26167070; AO 09; HID; GPRS; FONDO ADAPTACION]</v>
      </c>
      <c r="M292" t="b">
        <f t="shared" si="4"/>
        <v>1</v>
      </c>
    </row>
    <row r="293" spans="1:13" x14ac:dyDescent="0.25">
      <c r="A293" s="9">
        <v>292</v>
      </c>
      <c r="B293" s="9">
        <v>400</v>
      </c>
      <c r="C293" s="10" t="s">
        <v>714</v>
      </c>
      <c r="D293" t="str">
        <f>+_xlfn.XLOOKUP(B293,polaris!$B$2:$B$785,polaris!$D$2:$D$785)</f>
        <v>HIDROLÓGICA</v>
      </c>
      <c r="E293"/>
      <c r="F293" s="26">
        <v>26027200</v>
      </c>
      <c r="G293" s="26" t="str" cm="1">
        <f t="array" ref="G293">+_xlfn.XLOOKUP(C293,Hoja1!$E$2:$E$420,Tabla1[Nombre])</f>
        <v xml:space="preserve">PUENTE CARRETERA  - AUT [26027200] </v>
      </c>
      <c r="H293" t="str">
        <f>+_xlfn.XLOOKUP(F293,Tabla1[Codigo],Tabla1[Nombre])</f>
        <v xml:space="preserve">PUENTE CARRETERA  - AUT [26027200] </v>
      </c>
      <c r="I293" t="str">
        <f>+_xlfn.XLOOKUP(F293,Hoja5!$C$2:$C$420,Hoja5!$G$2:$G$420)</f>
        <v>DESCONECTADO</v>
      </c>
      <c r="J293" t="str" cm="1">
        <f t="array" ref="J293">+_xlfn.XLOOKUP(F293,Hoja5!$C$2:$C$420,Hoja5!$H$2:H$420)</f>
        <v>INMARSAT</v>
      </c>
      <c r="L293" t="str">
        <f>+_xlfn.XLOOKUP(B293,polaris!$B$2:$B$785,polaris!$C$2:$C$785)</f>
        <v>PUENTE CARRETERA  - AUT [26027200; CAU; HID; INMARSAT; AO09; FONDO ADAPTACION]</v>
      </c>
      <c r="M293" t="b">
        <f t="shared" si="4"/>
        <v>1</v>
      </c>
    </row>
    <row r="294" spans="1:13" x14ac:dyDescent="0.25">
      <c r="A294" s="9">
        <v>293</v>
      </c>
      <c r="B294" s="9">
        <v>401</v>
      </c>
      <c r="C294" s="10" t="s">
        <v>715</v>
      </c>
      <c r="D294" t="str">
        <f>+_xlfn.XLOOKUP(B294,polaris!$B$2:$B$785,polaris!$D$2:$D$785)</f>
        <v>HIDROLÓGICA</v>
      </c>
      <c r="E294"/>
      <c r="F294" s="26">
        <v>2633700150</v>
      </c>
      <c r="G294" s="26" t="str" cm="1">
        <f t="array" ref="G294">+_xlfn.XLOOKUP(C294,Hoja1!$E$2:$E$420,Tabla1[Nombre])</f>
        <v>GUAYABAL - AUT   [2633700150]</v>
      </c>
      <c r="H294" t="str">
        <f>+_xlfn.XLOOKUP(F294,Tabla1[Codigo],Tabla1[Nombre])</f>
        <v>GUAYABAL - AUT   [2633700150]</v>
      </c>
      <c r="I294" t="str">
        <f>+_xlfn.XLOOKUP(F294,Hoja5!$C$2:$C$420,Hoja5!$G$2:$G$420)</f>
        <v>EN LINEA</v>
      </c>
      <c r="J294" t="str" cm="1">
        <f t="array" ref="J294">+_xlfn.XLOOKUP(F294,Hoja5!$C$2:$C$420,Hoja5!$H$2:H$420)</f>
        <v>GPRS</v>
      </c>
      <c r="L294" t="str">
        <f>+_xlfn.XLOOKUP(B294,polaris!$B$2:$B$785,polaris!$C$2:$C$785)</f>
        <v>GUAYABAL - AUT   [2633700150; AO 09; HID; GPRS; FONDO ADAPTACIÓN ]</v>
      </c>
      <c r="M294" t="b">
        <f t="shared" si="4"/>
        <v>1</v>
      </c>
    </row>
    <row r="295" spans="1:13" x14ac:dyDescent="0.25">
      <c r="A295" s="9">
        <v>294</v>
      </c>
      <c r="B295" s="9">
        <v>404</v>
      </c>
      <c r="C295" s="96" t="s">
        <v>716</v>
      </c>
      <c r="D295" t="str">
        <f>+_xlfn.XLOOKUP(B295,polaris!$B$2:$B$785,polaris!$D$2:$D$785)</f>
        <v>HIDROLÓGICA</v>
      </c>
      <c r="E295"/>
      <c r="F295" s="26">
        <v>5311700154</v>
      </c>
      <c r="G295" s="26" t="str" cm="1">
        <f t="array" ref="G295">+_xlfn.XLOOKUP(C295,Hoja1!$E$2:$E$420,Tabla1[Nombre])</f>
        <v>PUENTE ZACARIAS - AUT   [5311700154]</v>
      </c>
      <c r="H295" t="str">
        <f>+_xlfn.XLOOKUP(F295,Tabla1[Codigo],Tabla1[Nombre])</f>
        <v>PUENTE ZACARIAS - AUT   [5311700154]</v>
      </c>
      <c r="I295" t="str">
        <f>+_xlfn.XLOOKUP(F295,Hoja5!$C$2:$C$420,Hoja5!$G$2:$G$420)</f>
        <v>OFFLINE MANUAL</v>
      </c>
      <c r="J295" t="str" cm="1">
        <f t="array" ref="J295">+_xlfn.XLOOKUP(F295,Hoja5!$C$2:$C$420,Hoja5!$H$2:H$420)</f>
        <v>PROC SUSPENSION</v>
      </c>
      <c r="L295" t="str">
        <f>+_xlfn.XLOOKUP(B295,polaris!$B$2:$B$785,polaris!$C$2:$C$785)</f>
        <v>PUENTE ZACARIAS - AUT   [5311700154; VDC; HID; LG; N; AO09; H9; GCAICEDO; 55-5; IPWD; R24; FNCM]  BATT/PALMAS OBSTRUYEN/REQUIERE PODA/  MANTENER OBSERVADOR/ PROB ALTA AL VANDALISMO/SINIESTRO/ RETIRADA AO09</v>
      </c>
      <c r="M295" t="b">
        <f t="shared" si="4"/>
        <v>0</v>
      </c>
    </row>
    <row r="296" spans="1:13" x14ac:dyDescent="0.25">
      <c r="A296" s="9">
        <v>295</v>
      </c>
      <c r="B296" s="9">
        <v>405</v>
      </c>
      <c r="C296" s="95" t="s">
        <v>717</v>
      </c>
      <c r="D296" t="str">
        <f>+_xlfn.XLOOKUP(B296,polaris!$B$2:$B$785,polaris!$D$2:$D$785)</f>
        <v>HIDROLÓGICA</v>
      </c>
      <c r="E296"/>
      <c r="F296" s="26">
        <v>2602700148</v>
      </c>
      <c r="G296" s="26" t="str" cm="1">
        <f t="array" ref="G296">+_xlfn.XLOOKUP(C296,Hoja1!$E$2:$E$420,Tabla1[Nombre])</f>
        <v>CAUCA ALTO - AUT   [2602700148]</v>
      </c>
      <c r="H296" t="str">
        <f>+_xlfn.XLOOKUP(F296,Tabla1[Codigo],Tabla1[Nombre])</f>
        <v>CAUCA ALTO - AUT   [2602700148]</v>
      </c>
      <c r="I296" t="str">
        <f>+_xlfn.XLOOKUP(F296,Hoja5!$C$2:$C$420,Hoja5!$G$2:$G$420)</f>
        <v>OFFLINE MANUAL</v>
      </c>
      <c r="J296" t="str" cm="1">
        <f t="array" ref="J296">+_xlfn.XLOOKUP(F296,Hoja5!$C$2:$C$420,Hoja5!$H$2:H$420)</f>
        <v>ORDEN PÚBLICO</v>
      </c>
      <c r="L296" t="str">
        <f>+_xlfn.XLOOKUP(B296,polaris!$B$2:$B$785,polaris!$C$2:$C$785)</f>
        <v>CAUCA ALTO - AUT   [2602700148; CAU; HID; LG; N; AO09; H5; DROJAS; 50-10; IPWD; R24; FNCM; ; ]</v>
      </c>
      <c r="M296" t="b">
        <f t="shared" si="4"/>
        <v>1</v>
      </c>
    </row>
    <row r="297" spans="1:13" x14ac:dyDescent="0.25">
      <c r="A297" s="9">
        <v>296</v>
      </c>
      <c r="B297" s="9">
        <v>406</v>
      </c>
      <c r="C297" s="10" t="s">
        <v>718</v>
      </c>
      <c r="D297" t="str">
        <f>+_xlfn.XLOOKUP(B297,polaris!$B$2:$B$785,polaris!$D$2:$D$785)</f>
        <v>HIDROLÓGICA</v>
      </c>
      <c r="E297"/>
      <c r="F297" s="26">
        <v>2611700158</v>
      </c>
      <c r="G297" s="26" t="str" cm="1">
        <f t="array" ref="G297">+_xlfn.XLOOKUP(C297,Hoja1!$E$2:$E$420,Tabla1[Nombre])</f>
        <v>RIO FRIO - AUT   [2611700158]</v>
      </c>
      <c r="H297" t="str">
        <f>+_xlfn.XLOOKUP(F297,Tabla1[Codigo],Tabla1[Nombre])</f>
        <v>RIO FRIO - AUT   [2611700158]</v>
      </c>
      <c r="I297" t="str">
        <f>+_xlfn.XLOOKUP(F297,Hoja5!$C$2:$C$420,Hoja5!$G$2:$G$420)</f>
        <v>EN LINEA</v>
      </c>
      <c r="J297" t="str" cm="1">
        <f t="array" ref="J297">+_xlfn.XLOOKUP(F297,Hoja5!$C$2:$C$420,Hoja5!$H$2:H$420)</f>
        <v>GPRS</v>
      </c>
      <c r="L297" t="str">
        <f>+_xlfn.XLOOKUP(B297,polaris!$B$2:$B$785,polaris!$C$2:$C$785)</f>
        <v>RIO FRIO - AUT   [2611700158;HID;AO09 ]</v>
      </c>
      <c r="M297" t="b">
        <f t="shared" si="4"/>
        <v>1</v>
      </c>
    </row>
    <row r="298" spans="1:13" x14ac:dyDescent="0.25">
      <c r="A298" s="9">
        <v>297</v>
      </c>
      <c r="B298" s="9">
        <v>408</v>
      </c>
      <c r="C298" s="10" t="s">
        <v>719</v>
      </c>
      <c r="D298" t="str">
        <f>+_xlfn.XLOOKUP(B298,polaris!$B$2:$B$785,polaris!$D$2:$D$785)</f>
        <v>HIDROLÓGICA</v>
      </c>
      <c r="E298"/>
      <c r="F298" s="26">
        <v>47017110</v>
      </c>
      <c r="G298" s="26" t="str" cm="1">
        <f t="array" ref="G298">+_xlfn.XLOOKUP(C298,Hoja1!$E$2:$E$420,Tabla1[Nombre])</f>
        <v>MONOPAMBA  - AUT [47017110]</v>
      </c>
      <c r="H298" t="str">
        <f>+_xlfn.XLOOKUP(F298,Tabla1[Codigo],Tabla1[Nombre])</f>
        <v>MONOPAMBA  - AUT [47017110]</v>
      </c>
      <c r="I298" t="str">
        <f>+_xlfn.XLOOKUP(F298,Hoja5!$C$2:$C$420,Hoja5!$G$2:$G$420)</f>
        <v>EN LINEA</v>
      </c>
      <c r="J298" t="str" cm="1">
        <f t="array" ref="J298">+_xlfn.XLOOKUP(F298,Hoja5!$C$2:$C$420,Hoja5!$H$2:H$420)</f>
        <v>GPRS</v>
      </c>
      <c r="L298" t="str">
        <f>+_xlfn.XLOOKUP(B298,polaris!$B$2:$B$785,polaris!$C$2:$C$785)</f>
        <v>MONOPAMBA  - AUT [47017110; AO07; FONDO ADAPTACION]</v>
      </c>
      <c r="M298" t="b">
        <f t="shared" si="4"/>
        <v>1</v>
      </c>
    </row>
    <row r="299" spans="1:13" x14ac:dyDescent="0.25">
      <c r="A299" s="9">
        <v>298</v>
      </c>
      <c r="B299" s="9">
        <v>409</v>
      </c>
      <c r="C299" s="95" t="s">
        <v>720</v>
      </c>
      <c r="D299" t="str">
        <f>+_xlfn.XLOOKUP(B299,polaris!$B$2:$B$785,polaris!$D$2:$D$785)</f>
        <v>HIDROLÓGICA</v>
      </c>
      <c r="E299"/>
      <c r="F299" s="26">
        <v>2603700157</v>
      </c>
      <c r="G299" s="26" t="str" cm="1">
        <f t="array" ref="G299">+_xlfn.XLOOKUP(C299,Hoja1!$E$2:$E$420,Tabla1[Nombre])</f>
        <v>REMOLINO - AUT   [2603700157]</v>
      </c>
      <c r="H299" t="str">
        <f>+_xlfn.XLOOKUP(F299,Tabla1[Codigo],Tabla1[Nombre])</f>
        <v>REMOLINO - AUT   [2603700157]</v>
      </c>
      <c r="I299" t="str">
        <f>+_xlfn.XLOOKUP(F299,Hoja5!$C$2:$C$420,Hoja5!$G$2:$G$420)</f>
        <v>OFFLINE MANUAL</v>
      </c>
      <c r="J299" t="str" cm="1">
        <f t="array" ref="J299">+_xlfn.XLOOKUP(F299,Hoja5!$C$2:$C$420,Hoja5!$H$2:H$420)</f>
        <v>ORDEN PÚBLICO</v>
      </c>
      <c r="L299" t="str">
        <f>+_xlfn.XLOOKUP(B299,polaris!$B$2:$B$785,polaris!$C$2:$C$785)</f>
        <v>REMOLINO - AUT   [2603700157; CAU; HID; LG; N; AO09; H6; DOSPINA; 50-5; IPWD; R24; FNCM; ; ]</v>
      </c>
      <c r="M299" t="b">
        <f t="shared" si="4"/>
        <v>1</v>
      </c>
    </row>
    <row r="300" spans="1:13" x14ac:dyDescent="0.25">
      <c r="A300" s="9">
        <v>299</v>
      </c>
      <c r="B300" s="9">
        <v>410</v>
      </c>
      <c r="C300" s="10" t="s">
        <v>721</v>
      </c>
      <c r="D300" t="str">
        <f>+_xlfn.XLOOKUP(B300,polaris!$B$2:$B$785,polaris!$D$2:$D$785)</f>
        <v>METEOROLÓGICA</v>
      </c>
      <c r="E300"/>
      <c r="F300" s="26">
        <v>2120500135</v>
      </c>
      <c r="G300" s="26" t="str" cm="1">
        <f t="array" ref="G300">+_xlfn.XLOOKUP(C300,Hoja1!$E$2:$E$420,Tabla1[Nombre])</f>
        <v>UNIVERSIDAD DE LA SABANA - AUT   [2120500135]</v>
      </c>
      <c r="H300" t="str">
        <f>+_xlfn.XLOOKUP(F300,Tabla1[Codigo],Tabla1[Nombre])</f>
        <v>UNIVERSIDAD DE LA SABANA - AUT   [2120500135]</v>
      </c>
      <c r="I300" t="str">
        <f>+_xlfn.XLOOKUP(F300,Hoja5!$C$2:$C$420,Hoja5!$G$2:$G$420)</f>
        <v>EN LINEA</v>
      </c>
      <c r="J300" t="str" cm="1">
        <f t="array" ref="J300">+_xlfn.XLOOKUP(F300,Hoja5!$C$2:$C$420,Hoja5!$H$2:H$420)</f>
        <v>GPRS</v>
      </c>
      <c r="L300" t="str">
        <f>+_xlfn.XLOOKUP(B300,polaris!$B$2:$B$785,polaris!$C$2:$C$785)</f>
        <v>UNIVERSIDAD DE LA SABANA [2120500135; AO11; FONDO ADAPTACION]</v>
      </c>
      <c r="M300" t="b">
        <f t="shared" si="4"/>
        <v>1</v>
      </c>
    </row>
    <row r="301" spans="1:13" x14ac:dyDescent="0.25">
      <c r="A301" s="9">
        <v>300</v>
      </c>
      <c r="B301" s="9">
        <v>411</v>
      </c>
      <c r="C301" s="10" t="s">
        <v>722</v>
      </c>
      <c r="D301" t="str">
        <f>+_xlfn.XLOOKUP(B301,polaris!$B$2:$B$785,polaris!$D$2:$D$785)</f>
        <v>METEOROLÓGICA</v>
      </c>
      <c r="E301"/>
      <c r="F301" s="26">
        <v>2614500116</v>
      </c>
      <c r="G301" s="26" t="str" cm="1">
        <f t="array" ref="G301">+_xlfn.XLOOKUP(C301,Hoja1!$E$2:$E$420,Tabla1[Nombre])</f>
        <v>EL JARDIN CUENCA ALTA RIO RISARALDA - AUT   [2614500116]</v>
      </c>
      <c r="H301" t="str">
        <f>+_xlfn.XLOOKUP(F301,Tabla1[Codigo],Tabla1[Nombre])</f>
        <v>EL JARDIN CUENCA ALTA RIO RISARALDA - AUT   [2614500116]</v>
      </c>
      <c r="I301" t="str">
        <f>+_xlfn.XLOOKUP(F301,Hoja5!$C$2:$C$420,Hoja5!$G$2:$G$420)</f>
        <v>EN LINEA</v>
      </c>
      <c r="J301" t="str" cm="1">
        <f t="array" ref="J301">+_xlfn.XLOOKUP(F301,Hoja5!$C$2:$C$420,Hoja5!$H$2:H$420)</f>
        <v>GPRS</v>
      </c>
      <c r="L301" t="str">
        <f>+_xlfn.XLOOKUP(B301,polaris!$B$2:$B$785,polaris!$C$2:$C$785)</f>
        <v>EL JARDIN CUENCA ALTA RIO RISARALDA - AUT[2614500116;AO 01;FONDO ADAPTACION]</v>
      </c>
      <c r="M301" t="b">
        <f t="shared" si="4"/>
        <v>1</v>
      </c>
    </row>
    <row r="302" spans="1:13" x14ac:dyDescent="0.25">
      <c r="A302" s="9">
        <v>301</v>
      </c>
      <c r="B302" s="9">
        <v>412</v>
      </c>
      <c r="C302" s="10" t="s">
        <v>723</v>
      </c>
      <c r="D302" t="str">
        <f>+_xlfn.XLOOKUP(B302,polaris!$B$2:$B$785,polaris!$D$2:$D$785)</f>
        <v>METEOROLÓGICA</v>
      </c>
      <c r="E302"/>
      <c r="F302" s="26">
        <v>2613500126</v>
      </c>
      <c r="G302" s="26" t="str" cm="1">
        <f t="array" ref="G302">+_xlfn.XLOOKUP(C302,Hoja1!$E$2:$E$420,Tabla1[Nombre])</f>
        <v>POTREROS - AUT   [2613500126]</v>
      </c>
      <c r="H302" t="str">
        <f>+_xlfn.XLOOKUP(F302,Tabla1[Codigo],Tabla1[Nombre])</f>
        <v>POTREROS - AUT   [2613500126]</v>
      </c>
      <c r="I302" t="str">
        <f>+_xlfn.XLOOKUP(F302,Hoja5!$C$2:$C$420,Hoja5!$G$2:$G$420)</f>
        <v>EN LINEA</v>
      </c>
      <c r="J302" t="str" cm="1">
        <f t="array" ref="J302">+_xlfn.XLOOKUP(F302,Hoja5!$C$2:$C$420,Hoja5!$H$2:H$420)</f>
        <v>GPRS</v>
      </c>
      <c r="L302" t="str">
        <f>+_xlfn.XLOOKUP(B302,polaris!$B$2:$B$785,polaris!$C$2:$C$785)</f>
        <v>POTREROS - AUT   [2613500126; AO 09; MET; GPRS; FONDO ADAPTACION]</v>
      </c>
      <c r="M302" t="b">
        <f t="shared" si="4"/>
        <v>1</v>
      </c>
    </row>
    <row r="303" spans="1:13" x14ac:dyDescent="0.25">
      <c r="A303" s="9">
        <v>302</v>
      </c>
      <c r="B303" s="9">
        <v>413</v>
      </c>
      <c r="C303" s="10" t="s">
        <v>724</v>
      </c>
      <c r="D303" t="str">
        <f>+_xlfn.XLOOKUP(B303,polaris!$B$2:$B$785,polaris!$D$2:$D$785)</f>
        <v>METEOROLÓGICA</v>
      </c>
      <c r="E303"/>
      <c r="F303" s="26">
        <v>2612500038</v>
      </c>
      <c r="G303" s="26" t="str" cm="1">
        <f t="array" ref="G303">+_xlfn.XLOOKUP(C303,Hoja1!$E$2:$E$420,Tabla1[Nombre])</f>
        <v>CRQ ARMENIA - AUT    [2612500038]</v>
      </c>
      <c r="H303" t="str">
        <f>+_xlfn.XLOOKUP(F303,Tabla1[Codigo],Tabla1[Nombre])</f>
        <v>CRQ ARMENIA - AUT    [2612500038]</v>
      </c>
      <c r="I303" t="str">
        <f>+_xlfn.XLOOKUP(F303,Hoja5!$C$2:$C$420,Hoja5!$G$2:$G$420)</f>
        <v>EN LINEA</v>
      </c>
      <c r="J303" t="str" cm="1">
        <f t="array" ref="J303">+_xlfn.XLOOKUP(F303,Hoja5!$C$2:$C$420,Hoja5!$H$2:H$420)</f>
        <v>GPRS</v>
      </c>
      <c r="L303" t="str">
        <f>+_xlfn.XLOOKUP(B303,polaris!$B$2:$B$785,polaris!$C$2:$C$785)</f>
        <v>CRQ ARMENIA - AUT [2612500038; AO 09; MET; GPRS; FONDO ADAPTACION]</v>
      </c>
      <c r="M303" t="b">
        <f t="shared" si="4"/>
        <v>1</v>
      </c>
    </row>
    <row r="304" spans="1:13" x14ac:dyDescent="0.25">
      <c r="A304" s="9">
        <v>303</v>
      </c>
      <c r="B304" s="9">
        <v>414</v>
      </c>
      <c r="C304" s="10" t="s">
        <v>725</v>
      </c>
      <c r="D304" t="str">
        <f>+_xlfn.XLOOKUP(B304,polaris!$B$2:$B$785,polaris!$D$2:$D$785)</f>
        <v>HIDROLÓGICA</v>
      </c>
      <c r="E304"/>
      <c r="F304" s="26">
        <v>21057050</v>
      </c>
      <c r="G304" s="26" t="str" cm="1">
        <f t="array" ref="G304">+_xlfn.XLOOKUP(C304,Hoja1!$E$2:$E$420,Tabla1[Nombre])</f>
        <v>VEGA EL SALADO  - AUT [21057050]</v>
      </c>
      <c r="H304" t="str">
        <f>+_xlfn.XLOOKUP(F304,Tabla1[Codigo],Tabla1[Nombre])</f>
        <v>VEGA EL SALADO  - AUT [21057050]</v>
      </c>
      <c r="I304" t="str">
        <f>+_xlfn.XLOOKUP(F304,Hoja5!$C$2:$C$420,Hoja5!$G$2:$G$420)</f>
        <v>EN LINEA</v>
      </c>
      <c r="J304" t="str" cm="1">
        <f t="array" ref="J304">+_xlfn.XLOOKUP(F304,Hoja5!$C$2:$C$420,Hoja5!$H$2:H$420)</f>
        <v>GPRS</v>
      </c>
      <c r="L304" t="str">
        <f>+_xlfn.XLOOKUP(B304,polaris!$B$2:$B$785,polaris!$C$2:$C$785)</f>
        <v>VEGA EL SALADO  - AUT [21057050; AO 04; HID; GPRS; FONDO ADAPTACION]</v>
      </c>
      <c r="M304" t="b">
        <f t="shared" si="4"/>
        <v>1</v>
      </c>
    </row>
    <row r="305" spans="1:13" x14ac:dyDescent="0.25">
      <c r="A305" s="9">
        <v>304</v>
      </c>
      <c r="B305" s="9">
        <v>415</v>
      </c>
      <c r="C305" s="10" t="s">
        <v>726</v>
      </c>
      <c r="D305" t="str">
        <f>+_xlfn.XLOOKUP(B305,polaris!$B$2:$B$785,polaris!$D$2:$D$785)</f>
        <v>METEOROLÓGICA</v>
      </c>
      <c r="E305"/>
      <c r="F305" s="26">
        <v>54015010</v>
      </c>
      <c r="G305" s="26" t="str" cm="1">
        <f t="array" ref="G305">+_xlfn.XLOOKUP(C305,Hoja1!$E$2:$E$420,Tabla1[Nombre])</f>
        <v>PUEBLO RICO  - AUT [54015010]</v>
      </c>
      <c r="H305" t="str">
        <f>+_xlfn.XLOOKUP(F305,Tabla1[Codigo],Tabla1[Nombre])</f>
        <v>PUEBLO RICO  - AUT [54015010]</v>
      </c>
      <c r="I305" t="str">
        <f>+_xlfn.XLOOKUP(F305,Hoja5!$C$2:$C$420,Hoja5!$G$2:$G$420)</f>
        <v>DESCONECTADO</v>
      </c>
      <c r="J305" t="str" cm="1">
        <f t="array" ref="J305">+_xlfn.XLOOKUP(F305,Hoja5!$C$2:$C$420,Hoja5!$H$2:H$420)</f>
        <v>INMARSAT</v>
      </c>
      <c r="L305" t="str">
        <f>+_xlfn.XLOOKUP(B305,polaris!$B$2:$B$785,polaris!$C$2:$C$785)</f>
        <v>PUEBLO RICO  - AUT [54015010; RIS; MET; INMARSAT; AO09; FONDO ADAPTACION]</v>
      </c>
      <c r="M305" t="b">
        <f t="shared" si="4"/>
        <v>1</v>
      </c>
    </row>
    <row r="306" spans="1:13" x14ac:dyDescent="0.25">
      <c r="A306" s="9">
        <v>305</v>
      </c>
      <c r="B306" s="9">
        <v>416</v>
      </c>
      <c r="C306" s="10" t="s">
        <v>727</v>
      </c>
      <c r="D306" t="str">
        <f>+_xlfn.XLOOKUP(B306,polaris!$B$2:$B$785,polaris!$D$2:$D$785)</f>
        <v>METEOROLÓGICA</v>
      </c>
      <c r="E306"/>
      <c r="F306" s="26">
        <v>2604500134</v>
      </c>
      <c r="G306" s="26" t="str" cm="1">
        <f t="array" ref="G306">+_xlfn.XLOOKUP(C306,Hoja1!$E$2:$E$420,Tabla1[Nombre])</f>
        <v>TORIBIO ALERTAS   TORIBIO - AUT   [2604500134]</v>
      </c>
      <c r="H306" t="str">
        <f>+_xlfn.XLOOKUP(F306,Tabla1[Codigo],Tabla1[Nombre])</f>
        <v>TORIBIO ALERTAS   TORIBIO - AUT   [2604500134]</v>
      </c>
      <c r="I306" t="str">
        <f>+_xlfn.XLOOKUP(F306,Hoja5!$C$2:$C$420,Hoja5!$G$2:$G$420)</f>
        <v>OFFLINE MANUAL</v>
      </c>
      <c r="J306" t="str" cm="1">
        <f t="array" ref="J306">+_xlfn.XLOOKUP(F306,Hoja5!$C$2:$C$420,Hoja5!$H$2:H$420)</f>
        <v>ORDEN PÚBLICO</v>
      </c>
      <c r="L306" t="str">
        <f>+_xlfn.XLOOKUP(B306,polaris!$B$2:$B$785,polaris!$C$2:$C$785)</f>
        <v>TORIBIO ALERTAS   TORIBIO - AUT   [2604500134; CAU; MET; INMARSAT; AO09; FONDO ADAPTACION]</v>
      </c>
      <c r="M306" t="b">
        <f t="shared" si="4"/>
        <v>1</v>
      </c>
    </row>
    <row r="307" spans="1:13" x14ac:dyDescent="0.25">
      <c r="A307" s="9">
        <v>306</v>
      </c>
      <c r="B307" s="9">
        <v>417</v>
      </c>
      <c r="C307" s="10" t="s">
        <v>728</v>
      </c>
      <c r="D307" t="str">
        <f>+_xlfn.XLOOKUP(B307,polaris!$B$2:$B$785,polaris!$D$2:$D$785)</f>
        <v>HIDROLÓGICA</v>
      </c>
      <c r="E307"/>
      <c r="F307" s="26">
        <v>21137030</v>
      </c>
      <c r="G307" s="26" t="str" cm="1">
        <f t="array" ref="G307">+_xlfn.XLOOKUP(C307,Hoja1!$E$2:$E$420,Tabla1[Nombre])</f>
        <v>PUENTE CARRETERA  - AUT [21137030]</v>
      </c>
      <c r="H307" t="str">
        <f>+_xlfn.XLOOKUP(F307,Tabla1[Codigo],Tabla1[Nombre])</f>
        <v>PUENTE CARRETERA  - AUT [21137030]</v>
      </c>
      <c r="I307" t="str">
        <f>+_xlfn.XLOOKUP(F307,Hoja5!$C$2:$C$420,Hoja5!$G$2:$G$420)</f>
        <v>SINIESTRO</v>
      </c>
      <c r="J307" t="str" cm="1">
        <f t="array" ref="J307">+_xlfn.XLOOKUP(F307,Hoja5!$C$2:$C$420,Hoja5!$H$2:H$420)</f>
        <v>SINIESTRO</v>
      </c>
      <c r="L307" t="str">
        <f>+_xlfn.XLOOKUP(B307,polaris!$B$2:$B$785,polaris!$C$2:$C$785)</f>
        <v>PUENTE CARRETERA  - AUT [21137030; HUI; HID; INMARSAT; AO04; FONDO ADAPTACION]</v>
      </c>
      <c r="M307" t="b">
        <f t="shared" si="4"/>
        <v>1</v>
      </c>
    </row>
    <row r="308" spans="1:13" x14ac:dyDescent="0.25">
      <c r="A308" s="9">
        <v>307</v>
      </c>
      <c r="B308" s="9">
        <v>418</v>
      </c>
      <c r="C308" s="10" t="s">
        <v>729</v>
      </c>
      <c r="D308" t="str">
        <f>+_xlfn.XLOOKUP(B308,polaris!$B$2:$B$785,polaris!$D$2:$D$785)</f>
        <v>HIDROLÓGICA</v>
      </c>
      <c r="E308"/>
      <c r="F308" s="26">
        <v>2633500119</v>
      </c>
      <c r="G308" s="26" t="str" cm="1">
        <f t="array" ref="G308">+_xlfn.XLOOKUP(C308,Hoja1!$E$2:$E$420,Tabla1[Nombre])</f>
        <v>GUACHAL PALMASECA - AUT   [2633500119]</v>
      </c>
      <c r="H308" t="str">
        <f>+_xlfn.XLOOKUP(F308,Tabla1[Codigo],Tabla1[Nombre])</f>
        <v>GUACHAL PALMASECA - AUT   [2633500119]</v>
      </c>
      <c r="I308" t="str">
        <f>+_xlfn.XLOOKUP(F308,Hoja5!$C$2:$C$420,Hoja5!$G$2:$G$420)</f>
        <v>EN LINEA</v>
      </c>
      <c r="J308" t="str" cm="1">
        <f t="array" ref="J308">+_xlfn.XLOOKUP(F308,Hoja5!$C$2:$C$420,Hoja5!$H$2:H$420)</f>
        <v>GPRS</v>
      </c>
      <c r="L308" t="str">
        <f>+_xlfn.XLOOKUP(B308,polaris!$B$2:$B$785,polaris!$C$2:$C$785)</f>
        <v>GUACHAL PALMASECA - AUT   [2633500119; AO 09; HID; GPRS; FONDO ADAPTACION]</v>
      </c>
      <c r="M308" t="b">
        <f t="shared" si="4"/>
        <v>1</v>
      </c>
    </row>
    <row r="309" spans="1:13" x14ac:dyDescent="0.25">
      <c r="A309" s="9">
        <v>308</v>
      </c>
      <c r="B309" s="9">
        <v>419</v>
      </c>
      <c r="C309" s="10" t="s">
        <v>730</v>
      </c>
      <c r="D309" t="str">
        <f>+_xlfn.XLOOKUP(B309,polaris!$B$2:$B$785,polaris!$D$2:$D$785)</f>
        <v>HIDROLÓGICA</v>
      </c>
      <c r="E309"/>
      <c r="F309" s="26">
        <v>2636700098</v>
      </c>
      <c r="G309" s="26" t="str" cm="1">
        <f t="array" ref="G309">+_xlfn.XLOOKUP(C309,Hoja1!$E$2:$E$420,Tabla1[Nombre])</f>
        <v>HACIENDA LA GRACIOSA - AUT   [2636700098]</v>
      </c>
      <c r="H309" t="str">
        <f>+_xlfn.XLOOKUP(F309,Tabla1[Codigo],Tabla1[Nombre])</f>
        <v>HACIENDA LA GRACIOSA - AUT   [2636700098]</v>
      </c>
      <c r="I309" t="str">
        <f>+_xlfn.XLOOKUP(F309,Hoja5!$C$2:$C$420,Hoja5!$G$2:$G$420)</f>
        <v>EN LINEA</v>
      </c>
      <c r="J309" t="str" cm="1">
        <f t="array" ref="J309">+_xlfn.XLOOKUP(F309,Hoja5!$C$2:$C$420,Hoja5!$H$2:H$420)</f>
        <v>GPRS</v>
      </c>
      <c r="L309" t="str">
        <f>+_xlfn.XLOOKUP(B309,polaris!$B$2:$B$785,polaris!$C$2:$C$785)</f>
        <v>HACIENDA LA GRACIOSA - AUT   [2636700098; AO 09; HID; GPRS; FONDO ADAPTACION]</v>
      </c>
      <c r="M309" t="b">
        <f t="shared" si="4"/>
        <v>1</v>
      </c>
    </row>
    <row r="310" spans="1:13" x14ac:dyDescent="0.25">
      <c r="A310" s="9">
        <v>309</v>
      </c>
      <c r="B310" s="9">
        <v>420</v>
      </c>
      <c r="C310" s="10" t="s">
        <v>731</v>
      </c>
      <c r="D310" t="str">
        <f>+_xlfn.XLOOKUP(B310,polaris!$B$2:$B$785,polaris!$D$2:$D$785)</f>
        <v>METEOROLÓGICA</v>
      </c>
      <c r="E310"/>
      <c r="F310" s="26">
        <v>2612500130</v>
      </c>
      <c r="G310" s="26" t="str" cm="1">
        <f t="array" ref="G310">+_xlfn.XLOOKUP(C310,Hoja1!$E$2:$E$420,Tabla1[Nombre])</f>
        <v>SALENTO - AUT   [2612500130]</v>
      </c>
      <c r="H310" t="str">
        <f>+_xlfn.XLOOKUP(F310,Tabla1[Codigo],Tabla1[Nombre])</f>
        <v>SALENTO - AUT   [2612500130]</v>
      </c>
      <c r="I310" t="str">
        <f>+_xlfn.XLOOKUP(F310,Hoja5!$C$2:$C$420,Hoja5!$G$2:$G$420)</f>
        <v>EN LINEA</v>
      </c>
      <c r="J310" t="str" cm="1">
        <f t="array" ref="J310">+_xlfn.XLOOKUP(F310,Hoja5!$C$2:$C$420,Hoja5!$H$2:H$420)</f>
        <v>GPRS</v>
      </c>
      <c r="L310" t="str">
        <f>+_xlfn.XLOOKUP(B310,polaris!$B$2:$B$785,polaris!$C$2:$C$785)</f>
        <v>SALENTO - AUT   [2612500130; AO 09; MET; GPRS; FONDO ADAPTACION]</v>
      </c>
      <c r="M310" t="b">
        <f t="shared" si="4"/>
        <v>1</v>
      </c>
    </row>
    <row r="311" spans="1:13" x14ac:dyDescent="0.25">
      <c r="A311" s="9">
        <v>310</v>
      </c>
      <c r="B311" s="9">
        <v>421</v>
      </c>
      <c r="C311" s="10" t="s">
        <v>732</v>
      </c>
      <c r="D311" t="str">
        <f>+_xlfn.XLOOKUP(B311,polaris!$B$2:$B$785,polaris!$D$2:$D$785)</f>
        <v>METEOROLÓGICA</v>
      </c>
      <c r="E311"/>
      <c r="F311" s="26">
        <v>2612500124</v>
      </c>
      <c r="G311" s="26" t="str" cm="1">
        <f t="array" ref="G311">+_xlfn.XLOOKUP(C311,Hoja1!$E$2:$E$420,Tabla1[Nombre])</f>
        <v>PIJAO - AUT   [2612500124]</v>
      </c>
      <c r="H311" t="str">
        <f>+_xlfn.XLOOKUP(F311,Tabla1[Codigo],Tabla1[Nombre])</f>
        <v>PIJAO - AUT   [2612500124]</v>
      </c>
      <c r="I311" t="str">
        <f>+_xlfn.XLOOKUP(F311,Hoja5!$C$2:$C$420,Hoja5!$G$2:$G$420)</f>
        <v>EN LINEA</v>
      </c>
      <c r="J311" t="str" cm="1">
        <f t="array" ref="J311">+_xlfn.XLOOKUP(F311,Hoja5!$C$2:$C$420,Hoja5!$H$2:H$420)</f>
        <v>GPRS</v>
      </c>
      <c r="L311" t="str">
        <f>+_xlfn.XLOOKUP(B311,polaris!$B$2:$B$785,polaris!$C$2:$C$785)</f>
        <v>PIJAO - AUT   [2612500124;AO 09; MET; GPRS; FONDO ADAPTACION]</v>
      </c>
      <c r="M311" t="b">
        <f t="shared" si="4"/>
        <v>1</v>
      </c>
    </row>
    <row r="312" spans="1:13" x14ac:dyDescent="0.25">
      <c r="A312" s="9">
        <v>311</v>
      </c>
      <c r="B312" s="9">
        <v>422</v>
      </c>
      <c r="C312" s="10" t="s">
        <v>733</v>
      </c>
      <c r="D312" t="str">
        <f>+_xlfn.XLOOKUP(B312,polaris!$B$2:$B$785,polaris!$D$2:$D$785)</f>
        <v>HIDROLÓGICA</v>
      </c>
      <c r="E312"/>
      <c r="F312" s="26">
        <v>47017170</v>
      </c>
      <c r="G312" s="26" t="str" cm="1">
        <f t="array" ref="G312">+_xlfn.XLOOKUP(C312,Hoja1!$E$2:$E$420,Tabla1[Nombre])</f>
        <v>PICUDO EL [47017170]</v>
      </c>
      <c r="H312" t="str">
        <f>+_xlfn.XLOOKUP(F312,Tabla1[Codigo],Tabla1[Nombre])</f>
        <v>PICUDO EL [47017170]</v>
      </c>
      <c r="I312" t="str">
        <f>+_xlfn.XLOOKUP(F312,Hoja5!$C$2:$C$420,Hoja5!$G$2:$G$420)</f>
        <v>EN LINEA</v>
      </c>
      <c r="J312" t="str" cm="1">
        <f t="array" ref="J312">+_xlfn.XLOOKUP(F312,Hoja5!$C$2:$C$420,Hoja5!$H$2:H$420)</f>
        <v>GOES</v>
      </c>
      <c r="L312" t="str">
        <f>+_xlfn.XLOOKUP(B312,polaris!$B$2:$B$785,polaris!$C$2:$C$785)</f>
        <v>PICUDO EL [47017170; AO 07;FONDO ADAPTACION]</v>
      </c>
      <c r="M312" t="b">
        <f t="shared" si="4"/>
        <v>1</v>
      </c>
    </row>
    <row r="313" spans="1:13" x14ac:dyDescent="0.25">
      <c r="A313" s="9">
        <v>312</v>
      </c>
      <c r="B313" s="9">
        <v>423</v>
      </c>
      <c r="C313" s="10" t="s">
        <v>734</v>
      </c>
      <c r="D313" t="str">
        <f>+_xlfn.XLOOKUP(B313,polaris!$B$2:$B$785,polaris!$D$2:$D$785)</f>
        <v>METEOROLÓGICA</v>
      </c>
      <c r="E313"/>
      <c r="F313" s="26">
        <v>1509500118</v>
      </c>
      <c r="G313" s="26" t="str" cm="1">
        <f t="array" ref="G313">+_xlfn.XLOOKUP(C313,Hoja1!$E$2:$E$420,Tabla1[Nombre])</f>
        <v>GUACHACA - AUT   [1509500118]</v>
      </c>
      <c r="H313" t="str">
        <f>+_xlfn.XLOOKUP(F313,Tabla1[Codigo],Tabla1[Nombre])</f>
        <v>GUACHACA - AUT   [1509500118]</v>
      </c>
      <c r="I313" t="str">
        <f>+_xlfn.XLOOKUP(F313,Hoja5!$C$2:$C$420,Hoja5!$G$2:$G$420)</f>
        <v>DESCONECTADO</v>
      </c>
      <c r="J313" t="str" cm="1">
        <f t="array" ref="J313">+_xlfn.XLOOKUP(F313,Hoja5!$C$2:$C$420,Hoja5!$H$2:H$420)</f>
        <v>INMARSAT</v>
      </c>
      <c r="L313" t="str">
        <f>+_xlfn.XLOOKUP(B313,polaris!$B$2:$B$785,polaris!$C$2:$C$785)</f>
        <v>GUACHACA - AUT   [1509500118; MAG; MET; CP; N; AO05; H10; JSOLANO; 55-5; IPWD; R24;  RELE]</v>
      </c>
      <c r="M313" t="b">
        <f t="shared" si="4"/>
        <v>1</v>
      </c>
    </row>
    <row r="314" spans="1:13" x14ac:dyDescent="0.25">
      <c r="A314" s="9">
        <v>313</v>
      </c>
      <c r="B314" s="9">
        <v>424</v>
      </c>
      <c r="C314" s="10" t="s">
        <v>735</v>
      </c>
      <c r="D314" t="str">
        <f>+_xlfn.XLOOKUP(B314,polaris!$B$2:$B$785,polaris!$D$2:$D$785)</f>
        <v>METEOROLÓGICA</v>
      </c>
      <c r="E314"/>
      <c r="F314" s="26">
        <v>5311500121</v>
      </c>
      <c r="G314" s="26" t="str" cm="1">
        <f t="array" ref="G314">+_xlfn.XLOOKUP(C314,Hoja1!$E$2:$E$420,Tabla1[Nombre])</f>
        <v>LA CUMBRE - AUT   [5311500121]</v>
      </c>
      <c r="H314" t="str">
        <f>+_xlfn.XLOOKUP(F314,Tabla1[Codigo],Tabla1[Nombre])</f>
        <v>LA CUMBRE - AUT   [5311500121]</v>
      </c>
      <c r="I314" t="str">
        <f>+_xlfn.XLOOKUP(F314,Hoja5!$C$2:$C$420,Hoja5!$G$2:$G$420)</f>
        <v>EN LINEA</v>
      </c>
      <c r="J314" t="str" cm="1">
        <f t="array" ref="J314">+_xlfn.XLOOKUP(F314,Hoja5!$C$2:$C$420,Hoja5!$H$2:H$420)</f>
        <v>GPRS</v>
      </c>
      <c r="L314" t="str">
        <f>+_xlfn.XLOOKUP(B314,polaris!$B$2:$B$785,polaris!$C$2:$C$785)</f>
        <v>LA CUMBRE - AUT   [5311500121; AO 09; MET; GPRS; FONDO ADAPTACION]</v>
      </c>
      <c r="M314" t="b">
        <f t="shared" si="4"/>
        <v>1</v>
      </c>
    </row>
    <row r="315" spans="1:13" x14ac:dyDescent="0.25">
      <c r="A315" s="9">
        <v>314</v>
      </c>
      <c r="B315" s="9">
        <v>428</v>
      </c>
      <c r="C315" s="10" t="s">
        <v>736</v>
      </c>
      <c r="D315" t="str">
        <f>+_xlfn.XLOOKUP(B315,polaris!$B$2:$B$785,polaris!$D$2:$D$785)</f>
        <v>HIDROLÓGICA</v>
      </c>
      <c r="E315"/>
      <c r="F315" s="26">
        <v>22057060</v>
      </c>
      <c r="G315" s="26" t="str" cm="1">
        <f t="array" ref="G315">+_xlfn.XLOOKUP(C315,Hoja1!$E$2:$E$420,Tabla1[Nombre])</f>
        <v>LA MURALLA - AUT [22057060]</v>
      </c>
      <c r="H315" t="str">
        <f>+_xlfn.XLOOKUP(F315,Tabla1[Codigo],Tabla1[Nombre])</f>
        <v>LA MURALLA - AUT [22057060]</v>
      </c>
      <c r="I315" t="str">
        <f>+_xlfn.XLOOKUP(F315,Hoja5!$C$2:$C$420,Hoja5!$G$2:$G$420)</f>
        <v>SINIESTRO</v>
      </c>
      <c r="J315" t="str" cm="1">
        <f t="array" ref="J315">+_xlfn.XLOOKUP(F315,Hoja5!$C$2:$C$420,Hoja5!$H$2:H$420)</f>
        <v>SINIESTRO</v>
      </c>
      <c r="L315" t="str">
        <f>+_xlfn.XLOOKUP(B315,polaris!$B$2:$B$785,polaris!$C$2:$C$785)</f>
        <v>LA MURALLA - AUT [22057060; AO10; PROCESO DE SUSPENSIÓN]</v>
      </c>
      <c r="M315" t="b">
        <f t="shared" si="4"/>
        <v>1</v>
      </c>
    </row>
    <row r="316" spans="1:13" x14ac:dyDescent="0.25">
      <c r="A316" s="9">
        <v>315</v>
      </c>
      <c r="B316" s="9">
        <v>429</v>
      </c>
      <c r="C316" s="10" t="s">
        <v>737</v>
      </c>
      <c r="D316" t="str">
        <f>+_xlfn.XLOOKUP(B316,polaris!$B$2:$B$785,polaris!$D$2:$D$785)</f>
        <v>HIDROLÓGICA</v>
      </c>
      <c r="E316"/>
      <c r="F316" s="26">
        <v>21257100</v>
      </c>
      <c r="G316" s="26" t="str" cm="1">
        <f t="array" ref="G316">+_xlfn.XLOOKUP(C316,Hoja1!$E$2:$E$420,Tabla1[Nombre])</f>
        <v>LA NUEVA - AUT [21257100]</v>
      </c>
      <c r="H316" t="str">
        <f>+_xlfn.XLOOKUP(F316,Tabla1[Codigo],Tabla1[Nombre])</f>
        <v>LA NUEVA - AUT [21257100]</v>
      </c>
      <c r="I316" t="str">
        <f>+_xlfn.XLOOKUP(F316,Hoja5!$C$2:$C$420,Hoja5!$G$2:$G$420)</f>
        <v>EN LINEA</v>
      </c>
      <c r="J316" t="str" cm="1">
        <f t="array" ref="J316">+_xlfn.XLOOKUP(F316,Hoja5!$C$2:$C$420,Hoja5!$H$2:H$420)</f>
        <v>GPRS</v>
      </c>
      <c r="L316" t="str">
        <f>+_xlfn.XLOOKUP(B316,polaris!$B$2:$B$785,polaris!$C$2:$C$785)</f>
        <v>LA NUEVA - AUT [21257100; AO 10; HID; GPRS; FONDO ADAPTACION]</v>
      </c>
      <c r="M316" t="b">
        <f t="shared" si="4"/>
        <v>1</v>
      </c>
    </row>
    <row r="317" spans="1:13" x14ac:dyDescent="0.25">
      <c r="A317" s="9">
        <v>316</v>
      </c>
      <c r="B317" s="9">
        <v>431</v>
      </c>
      <c r="C317" s="10" t="s">
        <v>738</v>
      </c>
      <c r="D317" t="str">
        <f>+_xlfn.XLOOKUP(B317,polaris!$B$2:$B$785,polaris!$D$2:$D$785)</f>
        <v>METEOROLÓGICA</v>
      </c>
      <c r="E317"/>
      <c r="F317" s="26">
        <v>2121500042</v>
      </c>
      <c r="G317" s="26" t="str" cm="1">
        <f t="array" ref="G317">+_xlfn.XLOOKUP(C317,Hoja1!$E$2:$E$420,Tabla1[Nombre])</f>
        <v>EL SILENCIO - AUT   [2121500042]</v>
      </c>
      <c r="H317" t="str">
        <f>+_xlfn.XLOOKUP(F317,Tabla1[Codigo],Tabla1[Nombre])</f>
        <v>EL SILENCIO - AUT   [2121500042]</v>
      </c>
      <c r="I317" t="str">
        <f>+_xlfn.XLOOKUP(F317,Hoja5!$C$2:$C$420,Hoja5!$G$2:$G$420)</f>
        <v>DESCONECTADO</v>
      </c>
      <c r="J317" t="str" cm="1">
        <f t="array" ref="J317">+_xlfn.XLOOKUP(F317,Hoja5!$C$2:$C$420,Hoja5!$H$2:H$420)</f>
        <v>INMARSAT</v>
      </c>
      <c r="L317" t="str">
        <f>+_xlfn.XLOOKUP(B317,polaris!$B$2:$B$785,polaris!$C$2:$C$785)</f>
        <v>EL SILENCIO - AUT   [2121500042; TOL; MET; INMARSAT; AO10; FONDO ADAPTACION]</v>
      </c>
      <c r="M317" t="b">
        <f t="shared" si="4"/>
        <v>1</v>
      </c>
    </row>
    <row r="318" spans="1:13" x14ac:dyDescent="0.25">
      <c r="A318" s="9">
        <v>317</v>
      </c>
      <c r="B318" s="9">
        <v>432</v>
      </c>
      <c r="C318" s="10" t="s">
        <v>739</v>
      </c>
      <c r="D318" t="str">
        <f>+_xlfn.XLOOKUP(B318,polaris!$B$2:$B$785,polaris!$D$2:$D$785)</f>
        <v>HIDROLÓGICA</v>
      </c>
      <c r="E318"/>
      <c r="F318" s="26">
        <v>21187030</v>
      </c>
      <c r="G318" s="26" t="str" cm="1">
        <f t="array" ref="G318">+_xlfn.XLOOKUP(C318,Hoja1!$E$2:$E$420,Tabla1[Nombre])</f>
        <v>CUCUNUBA  - AUT [21187030]</v>
      </c>
      <c r="H318" t="str">
        <f>+_xlfn.XLOOKUP(F318,Tabla1[Codigo],Tabla1[Nombre])</f>
        <v>CUCUNUBA  - AUT [21187030]</v>
      </c>
      <c r="I318" t="str">
        <f>+_xlfn.XLOOKUP(F318,Hoja5!$C$2:$C$420,Hoja5!$G$2:$G$420)</f>
        <v>DESCONECTADO</v>
      </c>
      <c r="J318" t="str" cm="1">
        <f t="array" ref="J318">+_xlfn.XLOOKUP(F318,Hoja5!$C$2:$C$420,Hoja5!$H$2:H$420)</f>
        <v>INMARSAT</v>
      </c>
      <c r="L318" t="str">
        <f>+_xlfn.XLOOKUP(B318,polaris!$B$2:$B$785,polaris!$C$2:$C$785)</f>
        <v>CUCUNUBA  - AUT [21187030; TOL; HID; INMARSAT; AO10; FONDO ADAPTACION]</v>
      </c>
      <c r="M318" t="b">
        <f t="shared" si="4"/>
        <v>1</v>
      </c>
    </row>
    <row r="319" spans="1:13" x14ac:dyDescent="0.25">
      <c r="A319" s="9">
        <v>318</v>
      </c>
      <c r="B319" s="9">
        <v>433</v>
      </c>
      <c r="C319" s="10" t="s">
        <v>740</v>
      </c>
      <c r="D319" t="str">
        <f>+_xlfn.XLOOKUP(B319,polaris!$B$2:$B$785,polaris!$D$2:$D$785)</f>
        <v>HIDROLÓGICA</v>
      </c>
      <c r="E319"/>
      <c r="F319" s="26">
        <v>2301700089</v>
      </c>
      <c r="G319" s="26" t="str" cm="1">
        <f t="array" ref="G319">+_xlfn.XLOOKUP(C319,Hoja1!$E$2:$E$420,Tabla1[Nombre])</f>
        <v>GUALÍ ALERTAS - AUT   [2301700089]</v>
      </c>
      <c r="H319" t="str">
        <f>+_xlfn.XLOOKUP(F319,Tabla1[Codigo],Tabla1[Nombre])</f>
        <v>GUALÍ ALERTAS - AUT   [2301700089]</v>
      </c>
      <c r="I319" t="str">
        <f>+_xlfn.XLOOKUP(F319,Hoja5!$C$2:$C$420,Hoja5!$G$2:$G$420)</f>
        <v>EN LINEA</v>
      </c>
      <c r="J319" t="str" cm="1">
        <f t="array" ref="J319">+_xlfn.XLOOKUP(F319,Hoja5!$C$2:$C$420,Hoja5!$H$2:H$420)</f>
        <v>GPRS</v>
      </c>
      <c r="L319" t="str">
        <f>+_xlfn.XLOOKUP(B319,polaris!$B$2:$B$785,polaris!$C$2:$C$785)</f>
        <v>GUALÍ ALERTAS - AUT   [2301700089; AO 10; HID; GPRS; FONDO ADAPTACION]</v>
      </c>
      <c r="M319" t="b">
        <f t="shared" si="4"/>
        <v>1</v>
      </c>
    </row>
    <row r="320" spans="1:13" x14ac:dyDescent="0.25">
      <c r="A320" s="9">
        <v>319</v>
      </c>
      <c r="B320" s="9">
        <v>434</v>
      </c>
      <c r="C320" s="10" t="s">
        <v>741</v>
      </c>
      <c r="D320" t="str">
        <f>+_xlfn.XLOOKUP(B320,polaris!$B$2:$B$785,polaris!$D$2:$D$785)</f>
        <v>HIDROLÓGICA</v>
      </c>
      <c r="E320"/>
      <c r="F320" s="26">
        <v>21147030</v>
      </c>
      <c r="G320" s="26" t="str" cm="1">
        <f t="array" ref="G320">+_xlfn.XLOOKUP(C320,Hoja1!$E$2:$E$420,Tabla1[Nombre])</f>
        <v>CARRASPOSO  - AUT [21147030]</v>
      </c>
      <c r="H320" t="str">
        <f>+_xlfn.XLOOKUP(F320,Tabla1[Codigo],Tabla1[Nombre])</f>
        <v>CARRASPOSO  - AUT [21147030]</v>
      </c>
      <c r="I320" t="str">
        <f>+_xlfn.XLOOKUP(F320,Hoja5!$C$2:$C$420,Hoja5!$G$2:$G$420)</f>
        <v>DESCONECTADO</v>
      </c>
      <c r="J320" t="str" cm="1">
        <f t="array" ref="J320">+_xlfn.XLOOKUP(F320,Hoja5!$C$2:$C$420,Hoja5!$H$2:H$420)</f>
        <v>INMARSAT</v>
      </c>
      <c r="L320" t="str">
        <f>+_xlfn.XLOOKUP(B320,polaris!$B$2:$B$785,polaris!$C$2:$C$785)</f>
        <v>CARRASPOSO  - AUT [21147030; HUI; HID; INMARSAT; AO04; FONDO ADAPTACION]</v>
      </c>
      <c r="M320" t="b">
        <f t="shared" si="4"/>
        <v>1</v>
      </c>
    </row>
    <row r="321" spans="1:13" x14ac:dyDescent="0.25">
      <c r="A321" s="9">
        <v>320</v>
      </c>
      <c r="B321" s="9">
        <v>437</v>
      </c>
      <c r="C321" s="10" t="s">
        <v>742</v>
      </c>
      <c r="D321" t="str">
        <f>+_xlfn.XLOOKUP(B321,polaris!$B$2:$B$785,polaris!$D$2:$D$785)</f>
        <v>METEOROLÓGICA</v>
      </c>
      <c r="E321"/>
      <c r="F321" s="26">
        <v>2202500051</v>
      </c>
      <c r="G321" s="26" t="str" cm="1">
        <f t="array" ref="G321">+_xlfn.XLOOKUP(C321,Hoja1!$E$2:$E$420,Tabla1[Nombre])</f>
        <v>PLANADAS - AUT   [2202500051]</v>
      </c>
      <c r="H321" t="str">
        <f>+_xlfn.XLOOKUP(F321,Tabla1[Codigo],Tabla1[Nombre])</f>
        <v>PLANADAS - AUT   [2202500051]</v>
      </c>
      <c r="I321" t="str">
        <f>+_xlfn.XLOOKUP(F321,Hoja5!$C$2:$C$420,Hoja5!$G$2:$G$420)</f>
        <v>DESCONECTADO</v>
      </c>
      <c r="J321" t="str" cm="1">
        <f t="array" ref="J321">+_xlfn.XLOOKUP(F321,Hoja5!$C$2:$C$420,Hoja5!$H$2:H$420)</f>
        <v>INMARSAT</v>
      </c>
      <c r="L321" t="str">
        <f>+_xlfn.XLOOKUP(B321,polaris!$B$2:$B$785,polaris!$C$2:$C$785)</f>
        <v>PLANADAS - AUT   [2202500051; TOL; MET; INMARSAT; AO10; FONDO ADAPTACION]</v>
      </c>
      <c r="M321" t="b">
        <f t="shared" si="4"/>
        <v>1</v>
      </c>
    </row>
    <row r="322" spans="1:13" x14ac:dyDescent="0.25">
      <c r="A322" s="9">
        <v>321</v>
      </c>
      <c r="B322" s="9">
        <v>439</v>
      </c>
      <c r="C322" s="10" t="s">
        <v>743</v>
      </c>
      <c r="D322" t="str">
        <f>+_xlfn.XLOOKUP(B322,polaris!$B$2:$B$785,polaris!$D$2:$D$785)</f>
        <v>HIDROLÓGICA</v>
      </c>
      <c r="E322"/>
      <c r="F322" s="26">
        <v>24017640</v>
      </c>
      <c r="G322" s="26" t="str" cm="1">
        <f t="array" ref="G322">+_xlfn.XLOOKUP(C322,Hoja1!$E$2:$E$420,Tabla1[Nombre])</f>
        <v>LA CEIBA - AUT [24017640]</v>
      </c>
      <c r="H322" t="str">
        <f>+_xlfn.XLOOKUP(F322,Tabla1[Codigo],Tabla1[Nombre])</f>
        <v>LA CEIBA - AUT [24017640]</v>
      </c>
      <c r="I322" t="str">
        <f>+_xlfn.XLOOKUP(F322,Hoja5!$C$2:$C$420,Hoja5!$G$2:$G$420)</f>
        <v>EN LINEA</v>
      </c>
      <c r="J322" t="str" cm="1">
        <f t="array" ref="J322">+_xlfn.XLOOKUP(F322,Hoja5!$C$2:$C$420,Hoja5!$H$2:H$420)</f>
        <v>GPRS</v>
      </c>
      <c r="L322" t="str">
        <f>+_xlfn.XLOOKUP(B322,polaris!$B$2:$B$785,polaris!$C$2:$C$785)</f>
        <v>LA CEIBA - AUT [24017640; AO 08; HID; GPRS; FONDO ADAPTACION]</v>
      </c>
      <c r="M322" t="b">
        <f t="shared" si="4"/>
        <v>1</v>
      </c>
    </row>
    <row r="323" spans="1:13" x14ac:dyDescent="0.25">
      <c r="A323" s="9">
        <v>322</v>
      </c>
      <c r="B323" s="9">
        <v>440</v>
      </c>
      <c r="C323" s="10" t="s">
        <v>744</v>
      </c>
      <c r="D323" t="str">
        <f>+_xlfn.XLOOKUP(B323,polaris!$B$2:$B$785,polaris!$D$2:$D$785)</f>
        <v>HIDROLÓGICA</v>
      </c>
      <c r="E323"/>
      <c r="F323" s="26">
        <v>2125700094</v>
      </c>
      <c r="G323" s="26" t="str" cm="1">
        <f t="array" ref="G323">+_xlfn.XLOOKUP(C323,Hoja1!$E$2:$E$420,Tabla1[Nombre])</f>
        <v>RECIO 1 - AUT   [2125700094]</v>
      </c>
      <c r="H323" t="str">
        <f>+_xlfn.XLOOKUP(F323,Tabla1[Codigo],Tabla1[Nombre])</f>
        <v>RECIO 1 - AUT   [2125700094]</v>
      </c>
      <c r="I323" t="str">
        <f>+_xlfn.XLOOKUP(F323,Hoja5!$C$2:$C$420,Hoja5!$G$2:$G$420)</f>
        <v>DESCONECTADO</v>
      </c>
      <c r="J323" t="str" cm="1">
        <f t="array" ref="J323">+_xlfn.XLOOKUP(F323,Hoja5!$C$2:$C$420,Hoja5!$H$2:H$420)</f>
        <v>INMARSAT</v>
      </c>
      <c r="L323" t="str">
        <f>+_xlfn.XLOOKUP(B323,polaris!$B$2:$B$785,polaris!$C$2:$C$785)</f>
        <v>RECIO 1 - AUT   [2125700094;TOL;HID;LG;N;AO10;H8; DOSPINA; 0; IPWD; R24;FNCM; ; ]</v>
      </c>
      <c r="M323" t="b">
        <f t="shared" ref="M323:M386" si="5">+L323=C323</f>
        <v>1</v>
      </c>
    </row>
    <row r="324" spans="1:13" x14ac:dyDescent="0.25">
      <c r="A324" s="9">
        <v>323</v>
      </c>
      <c r="B324" s="9">
        <v>442</v>
      </c>
      <c r="C324" s="10" t="s">
        <v>745</v>
      </c>
      <c r="D324" t="str">
        <f>+_xlfn.XLOOKUP(B324,polaris!$B$2:$B$785,polaris!$D$2:$D$785)</f>
        <v>METEOROLÓGICA</v>
      </c>
      <c r="E324"/>
      <c r="F324" s="26">
        <v>2305500055</v>
      </c>
      <c r="G324" s="26" t="str" cm="1">
        <f t="array" ref="G324">+_xlfn.XLOOKUP(C324,Hoja1!$E$2:$E$420,Tabla1[Nombre])</f>
        <v>SAN JOSE DE PENSILVANIA - AUT   [2305500055]</v>
      </c>
      <c r="H324" t="str">
        <f>+_xlfn.XLOOKUP(F324,Tabla1[Codigo],Tabla1[Nombre])</f>
        <v>SAN JOSE DE PENSILVANIA - AUT   [2305500055]</v>
      </c>
      <c r="I324" t="str">
        <f>+_xlfn.XLOOKUP(F324,Hoja5!$C$2:$C$420,Hoja5!$G$2:$G$420)</f>
        <v>EN LINEA</v>
      </c>
      <c r="J324" t="str" cm="1">
        <f t="array" ref="J324">+_xlfn.XLOOKUP(F324,Hoja5!$C$2:$C$420,Hoja5!$H$2:H$420)</f>
        <v>GPRS</v>
      </c>
      <c r="L324" t="str">
        <f>+_xlfn.XLOOKUP(B324,polaris!$B$2:$B$785,polaris!$C$2:$C$785)</f>
        <v>SAN JOSE DE PENSILVANIA - AUT   [2305500055; AO 10; MET; GPRS; FONDO ADAPTACION ]</v>
      </c>
      <c r="M324" t="b">
        <f t="shared" si="5"/>
        <v>1</v>
      </c>
    </row>
    <row r="325" spans="1:13" x14ac:dyDescent="0.25">
      <c r="A325" s="9">
        <v>324</v>
      </c>
      <c r="B325" s="9">
        <v>444</v>
      </c>
      <c r="C325" s="10" t="s">
        <v>746</v>
      </c>
      <c r="D325" t="str">
        <f>+_xlfn.XLOOKUP(B325,polaris!$B$2:$B$785,polaris!$D$2:$D$785)</f>
        <v>HIDROLÓGICA</v>
      </c>
      <c r="E325"/>
      <c r="F325" s="26">
        <v>23087230</v>
      </c>
      <c r="G325" s="26" t="str" cm="1">
        <f t="array" ref="G325">+_xlfn.XLOOKUP(C325,Hoja1!$E$2:$E$420,Tabla1[Nombre])</f>
        <v>PUERTO BELLO  - AUT [23087230]</v>
      </c>
      <c r="H325" t="str">
        <f>+_xlfn.XLOOKUP(F325,Tabla1[Codigo],Tabla1[Nombre])</f>
        <v>PUERTO BELLO  - AUT [23087230]</v>
      </c>
      <c r="I325" t="str">
        <f>+_xlfn.XLOOKUP(F325,Hoja5!$C$2:$C$420,Hoja5!$G$2:$G$420)</f>
        <v>DESCONECTADO</v>
      </c>
      <c r="J325" t="str" cm="1">
        <f t="array" ref="J325">+_xlfn.XLOOKUP(F325,Hoja5!$C$2:$C$420,Hoja5!$H$2:H$420)</f>
        <v>INMARSAT</v>
      </c>
      <c r="L325" t="str">
        <f>+_xlfn.XLOOKUP(B325,polaris!$B$2:$B$785,polaris!$C$2:$C$785)</f>
        <v>PUERTO BELLO  - AUT [23087230; ANT; HID; INMARSAT; AO10; FONDO ADAPTACION]</v>
      </c>
      <c r="M325" t="b">
        <f t="shared" si="5"/>
        <v>1</v>
      </c>
    </row>
    <row r="326" spans="1:13" x14ac:dyDescent="0.25">
      <c r="A326" s="9">
        <v>325</v>
      </c>
      <c r="B326" s="9">
        <v>446</v>
      </c>
      <c r="C326" s="10" t="s">
        <v>747</v>
      </c>
      <c r="D326" t="str">
        <f>+_xlfn.XLOOKUP(B326,polaris!$B$2:$B$785,polaris!$D$2:$D$785)</f>
        <v>METEOROLÓGICA</v>
      </c>
      <c r="E326"/>
      <c r="F326" s="26">
        <v>24015380</v>
      </c>
      <c r="G326" s="26" t="str" cm="1">
        <f t="array" ref="G326">+_xlfn.XLOOKUP(C326,Hoja1!$E$2:$E$420,Tabla1[Nombre])</f>
        <v>CARMEN DE CARUPA  - AUT [24015380]</v>
      </c>
      <c r="H326" t="str">
        <f>+_xlfn.XLOOKUP(F326,Tabla1[Codigo],Tabla1[Nombre])</f>
        <v>CARMEN DE CARUPA  - AUT [24015380]</v>
      </c>
      <c r="I326" t="str">
        <f>+_xlfn.XLOOKUP(F326,Hoja5!$C$2:$C$420,Hoja5!$G$2:$G$420)</f>
        <v>EN LINEA</v>
      </c>
      <c r="J326" t="str" cm="1">
        <f t="array" ref="J326">+_xlfn.XLOOKUP(F326,Hoja5!$C$2:$C$420,Hoja5!$H$2:H$420)</f>
        <v>GPRS</v>
      </c>
      <c r="L326" t="str">
        <f>+_xlfn.XLOOKUP(B326,polaris!$B$2:$B$785,polaris!$C$2:$C$785)</f>
        <v>CARMEN DE CARUPA [24015380; AO11; FONDO ADAPTACION]</v>
      </c>
      <c r="M326" t="b">
        <f t="shared" si="5"/>
        <v>1</v>
      </c>
    </row>
    <row r="327" spans="1:13" x14ac:dyDescent="0.25">
      <c r="A327" s="9">
        <v>326</v>
      </c>
      <c r="B327" s="9">
        <v>447</v>
      </c>
      <c r="C327" s="10" t="s">
        <v>748</v>
      </c>
      <c r="D327" t="str">
        <f>+_xlfn.XLOOKUP(B327,polaris!$B$2:$B$785,polaris!$D$2:$D$785)</f>
        <v>METEOROLÓGICA</v>
      </c>
      <c r="E327"/>
      <c r="F327" s="26">
        <v>2120500050</v>
      </c>
      <c r="G327" s="26" t="str" cm="1">
        <f t="array" ref="G327">+_xlfn.XLOOKUP(C327,Hoja1!$E$2:$E$420,Tabla1[Nombre])</f>
        <v>PARAMO ALTO - AUT   [2120500050]</v>
      </c>
      <c r="H327" t="str">
        <f>+_xlfn.XLOOKUP(F327,Tabla1[Codigo],Tabla1[Nombre])</f>
        <v>PARAMO ALTO - AUT   [2120500050]</v>
      </c>
      <c r="I327" t="str">
        <f>+_xlfn.XLOOKUP(F327,Hoja5!$C$2:$C$420,Hoja5!$G$2:$G$420)</f>
        <v>DESCONECTADO</v>
      </c>
      <c r="J327" t="str" cm="1">
        <f t="array" ref="J327">+_xlfn.XLOOKUP(F327,Hoja5!$C$2:$C$420,Hoja5!$H$2:H$420)</f>
        <v>INMARSAT</v>
      </c>
      <c r="L327" t="str">
        <f>+_xlfn.XLOOKUP(B327,polaris!$B$2:$B$785,polaris!$C$2:$C$785)</f>
        <v>PARAMO ALTO [2120500050; AO11; FONDO ADAPTACION]</v>
      </c>
      <c r="M327" t="b">
        <f t="shared" si="5"/>
        <v>1</v>
      </c>
    </row>
    <row r="328" spans="1:13" x14ac:dyDescent="0.25">
      <c r="A328" s="9">
        <v>327</v>
      </c>
      <c r="B328" s="9">
        <v>448</v>
      </c>
      <c r="C328" s="10" t="s">
        <v>749</v>
      </c>
      <c r="D328" t="str">
        <f>+_xlfn.XLOOKUP(B328,polaris!$B$2:$B$785,polaris!$D$2:$D$785)</f>
        <v>HIDROLÓGICA</v>
      </c>
      <c r="E328"/>
      <c r="F328" s="26">
        <v>23067070</v>
      </c>
      <c r="G328" s="26" t="str" cm="1">
        <f t="array" ref="G328">+_xlfn.XLOOKUP(C328,Hoja1!$E$2:$E$420,Tabla1[Nombre])</f>
        <v>VILLETA - AUT [23067070]</v>
      </c>
      <c r="H328" t="str">
        <f>+_xlfn.XLOOKUP(F328,Tabla1[Codigo],Tabla1[Nombre])</f>
        <v>VILLETA - AUT [23067070]</v>
      </c>
      <c r="I328" t="str">
        <f>+_xlfn.XLOOKUP(F328,Hoja5!$C$2:$C$420,Hoja5!$G$2:$G$420)</f>
        <v>EN LINEA</v>
      </c>
      <c r="J328" t="str" cm="1">
        <f t="array" ref="J328">+_xlfn.XLOOKUP(F328,Hoja5!$C$2:$C$420,Hoja5!$H$2:H$420)</f>
        <v>GPRS</v>
      </c>
      <c r="L328" t="str">
        <f>+_xlfn.XLOOKUP(B328,polaris!$B$2:$B$785,polaris!$C$2:$C$785)</f>
        <v>VILLETA [23067070; AO 11; FONDO ADAPTACION]</v>
      </c>
      <c r="M328" t="b">
        <f t="shared" si="5"/>
        <v>1</v>
      </c>
    </row>
    <row r="329" spans="1:13" x14ac:dyDescent="0.25">
      <c r="A329" s="9">
        <v>328</v>
      </c>
      <c r="B329" s="9">
        <v>449</v>
      </c>
      <c r="C329" s="10" t="s">
        <v>750</v>
      </c>
      <c r="D329" t="str">
        <f>+_xlfn.XLOOKUP(B329,polaris!$B$2:$B$785,polaris!$D$2:$D$785)</f>
        <v>HIDROLÓGICA</v>
      </c>
      <c r="E329"/>
      <c r="F329" s="26">
        <v>2120700146</v>
      </c>
      <c r="G329" s="26" t="str" cm="1">
        <f t="array" ref="G329">+_xlfn.XLOOKUP(C329,Hoja1!$E$2:$E$420,Tabla1[Nombre])</f>
        <v>UNIVERSIDAD DE LA SABANA - AUT   [2120700146]</v>
      </c>
      <c r="H329" t="str">
        <f>+_xlfn.XLOOKUP(F329,Tabla1[Codigo],Tabla1[Nombre])</f>
        <v>UNIVERSIDAD DE LA SABANA - AUT   [2120700146]</v>
      </c>
      <c r="I329" t="str">
        <f>+_xlfn.XLOOKUP(F329,Hoja5!$C$2:$C$420,Hoja5!$G$2:$G$420)</f>
        <v>EN LINEA</v>
      </c>
      <c r="J329" t="str" cm="1">
        <f t="array" ref="J329">+_xlfn.XLOOKUP(F329,Hoja5!$C$2:$C$420,Hoja5!$H$2:H$420)</f>
        <v>GPRS</v>
      </c>
      <c r="L329" t="str">
        <f>+_xlfn.XLOOKUP(B329,polaris!$B$2:$B$785,polaris!$C$2:$C$785)</f>
        <v>UNIVERSIDAD DE LA SABANA [2120700146; AO11; FONDO ADAPTACIÓN]</v>
      </c>
      <c r="M329" t="b">
        <f t="shared" si="5"/>
        <v>1</v>
      </c>
    </row>
    <row r="330" spans="1:13" x14ac:dyDescent="0.25">
      <c r="A330" s="9">
        <v>329</v>
      </c>
      <c r="B330" s="9">
        <v>451</v>
      </c>
      <c r="C330" s="10" t="s">
        <v>751</v>
      </c>
      <c r="D330" t="str">
        <f>+_xlfn.XLOOKUP(B330,polaris!$B$2:$B$785,polaris!$D$2:$D$785)</f>
        <v>HIDROLÓGICA</v>
      </c>
      <c r="E330"/>
      <c r="F330" s="26">
        <v>2120700162</v>
      </c>
      <c r="G330" s="26" t="str" cm="1">
        <f t="array" ref="G330">+_xlfn.XLOOKUP(C330,Hoja1!$E$2:$E$420,Tabla1[Nombre])</f>
        <v>SAN JOAQUIN - AUT   [2120700162]</v>
      </c>
      <c r="H330" t="str">
        <f>+_xlfn.XLOOKUP(F330,Tabla1[Codigo],Tabla1[Nombre])</f>
        <v>SAN JOAQUIN - AUT   [2120700162]</v>
      </c>
      <c r="I330" t="str">
        <f>+_xlfn.XLOOKUP(F330,Hoja5!$C$2:$C$420,Hoja5!$G$2:$G$420)</f>
        <v>DESCONECTADO</v>
      </c>
      <c r="J330" t="str" cm="1">
        <f t="array" ref="J330">+_xlfn.XLOOKUP(F330,Hoja5!$C$2:$C$420,Hoja5!$H$2:H$420)</f>
        <v>INMARSAT</v>
      </c>
      <c r="L330" t="str">
        <f>+_xlfn.XLOOKUP(B330,polaris!$B$2:$B$785,polaris!$C$2:$C$785)</f>
        <v>SAN JOAQUIN [2120700162;  AO11; FONDO DE ADAPTACIÓN]</v>
      </c>
      <c r="M330" t="b">
        <f t="shared" si="5"/>
        <v>1</v>
      </c>
    </row>
    <row r="331" spans="1:13" x14ac:dyDescent="0.25">
      <c r="A331" s="9">
        <v>330</v>
      </c>
      <c r="B331" s="9">
        <v>453</v>
      </c>
      <c r="C331" s="10" t="s">
        <v>752</v>
      </c>
      <c r="D331" t="str">
        <f>+_xlfn.XLOOKUP(B331,polaris!$B$2:$B$785,polaris!$D$2:$D$785)</f>
        <v>METEOROLÓGICA</v>
      </c>
      <c r="E331"/>
      <c r="F331" s="26">
        <v>2306500106</v>
      </c>
      <c r="G331" s="26" t="str" cm="1">
        <f t="array" ref="G331">+_xlfn.XLOOKUP(C331,Hoja1!$E$2:$E$420,Tabla1[Nombre])</f>
        <v>ALTO DEL TRIGO -   [2306500106]</v>
      </c>
      <c r="H331" t="str">
        <f>+_xlfn.XLOOKUP(F331,Tabla1[Codigo],Tabla1[Nombre])</f>
        <v>ALTO DEL TRIGO -   [2306500106]</v>
      </c>
      <c r="I331" t="str">
        <f>+_xlfn.XLOOKUP(F331,Hoja5!$C$2:$C$420,Hoja5!$G$2:$G$420)</f>
        <v>DESCONECTADO</v>
      </c>
      <c r="J331" t="str" cm="1">
        <f t="array" ref="J331">+_xlfn.XLOOKUP(F331,Hoja5!$C$2:$C$420,Hoja5!$H$2:H$420)</f>
        <v>INMARSAT</v>
      </c>
      <c r="L331" t="str">
        <f>+_xlfn.XLOOKUP(B331,polaris!$B$2:$B$785,polaris!$C$2:$C$785)</f>
        <v>ALTO DEL TRIGO -   [2306500106; AO11; FONDO ADAPTACION]</v>
      </c>
      <c r="M331" t="b">
        <f t="shared" si="5"/>
        <v>1</v>
      </c>
    </row>
    <row r="332" spans="1:13" x14ac:dyDescent="0.25">
      <c r="A332" s="9">
        <v>331</v>
      </c>
      <c r="B332" s="9">
        <v>454</v>
      </c>
      <c r="C332" s="10" t="s">
        <v>753</v>
      </c>
      <c r="D332" t="str">
        <f>+_xlfn.XLOOKUP(B332,polaris!$B$2:$B$785,polaris!$D$2:$D$785)</f>
        <v>METEOROLÓGICA</v>
      </c>
      <c r="E332"/>
      <c r="F332" s="26">
        <v>23065110</v>
      </c>
      <c r="G332" s="26" t="str" cm="1">
        <f t="array" ref="G332">+_xlfn.XLOOKUP(C332,Hoja1!$E$2:$E$420,Tabla1[Nombre])</f>
        <v>YACOPI  - AUT [23065110]</v>
      </c>
      <c r="H332" t="str">
        <f>+_xlfn.XLOOKUP(F332,Tabla1[Codigo],Tabla1[Nombre])</f>
        <v>YACOPI  - AUT [23065110]</v>
      </c>
      <c r="I332" t="str">
        <f>+_xlfn.XLOOKUP(F332,Hoja5!$C$2:$C$420,Hoja5!$G$2:$G$420)</f>
        <v>EN LINEA</v>
      </c>
      <c r="J332" t="str" cm="1">
        <f t="array" ref="J332">+_xlfn.XLOOKUP(F332,Hoja5!$C$2:$C$420,Hoja5!$H$2:H$420)</f>
        <v>GPRS</v>
      </c>
      <c r="L332" t="str">
        <f>+_xlfn.XLOOKUP(B332,polaris!$B$2:$B$785,polaris!$C$2:$C$785)</f>
        <v>YACOPI [23065110;  AO11; FONDO ADAPTACION]</v>
      </c>
      <c r="M332" t="b">
        <f t="shared" si="5"/>
        <v>1</v>
      </c>
    </row>
    <row r="333" spans="1:13" x14ac:dyDescent="0.25">
      <c r="A333" s="9">
        <v>332</v>
      </c>
      <c r="B333" s="9">
        <v>455</v>
      </c>
      <c r="C333" s="10" t="s">
        <v>754</v>
      </c>
      <c r="D333" t="str">
        <f>+_xlfn.XLOOKUP(B333,polaris!$B$2:$B$785,polaris!$D$2:$D$785)</f>
        <v>HIDROLÓGICA</v>
      </c>
      <c r="E333"/>
      <c r="F333" s="26">
        <v>22077050</v>
      </c>
      <c r="G333" s="26" t="str" cm="1">
        <f t="array" ref="G333">+_xlfn.XLOOKUP(C333,Hoja1!$E$2:$E$420,Tabla1[Nombre])</f>
        <v>PIJAITO  - AUT [22077050]</v>
      </c>
      <c r="H333" t="str">
        <f>+_xlfn.XLOOKUP(F333,Tabla1[Codigo],Tabla1[Nombre])</f>
        <v>PIJAITO  - AUT [22077050]</v>
      </c>
      <c r="I333" t="str">
        <f>+_xlfn.XLOOKUP(F333,Hoja5!$C$2:$C$420,Hoja5!$G$2:$G$420)</f>
        <v>DESCONECTADO</v>
      </c>
      <c r="J333" t="str" cm="1">
        <f t="array" ref="J333">+_xlfn.XLOOKUP(F333,Hoja5!$C$2:$C$420,Hoja5!$H$2:H$420)</f>
        <v>INMARSAT</v>
      </c>
      <c r="L333" t="str">
        <f>+_xlfn.XLOOKUP(B333,polaris!$B$2:$B$785,polaris!$C$2:$C$785)</f>
        <v>PIJAITO  - AUT [22077050; TOL; HID; INMARSAT; AO10; FONDO ADAPTACION]</v>
      </c>
      <c r="M333" t="b">
        <f t="shared" si="5"/>
        <v>1</v>
      </c>
    </row>
    <row r="334" spans="1:13" x14ac:dyDescent="0.25">
      <c r="A334" s="9">
        <v>333</v>
      </c>
      <c r="B334" s="9">
        <v>456</v>
      </c>
      <c r="C334" s="10" t="s">
        <v>755</v>
      </c>
      <c r="D334" t="str">
        <f>+_xlfn.XLOOKUP(B334,polaris!$B$2:$B$785,polaris!$D$2:$D$785)</f>
        <v>HIDROLÓGICA</v>
      </c>
      <c r="E334"/>
      <c r="F334" s="26">
        <v>35027100</v>
      </c>
      <c r="G334" s="26" t="str" cm="1">
        <f t="array" ref="G334">+_xlfn.XLOOKUP(C334,Hoja1!$E$2:$E$420,Tabla1[Nombre])</f>
        <v>CARAZA  - AUT [35027100]</v>
      </c>
      <c r="H334" t="str">
        <f>+_xlfn.XLOOKUP(F334,Tabla1[Codigo],Tabla1[Nombre])</f>
        <v>CARAZA  - AUT [35027100]</v>
      </c>
      <c r="I334" t="str">
        <f>+_xlfn.XLOOKUP(F334,Hoja5!$C$2:$C$420,Hoja5!$G$2:$G$420)</f>
        <v>EN LINEA</v>
      </c>
      <c r="J334" t="str" cm="1">
        <f t="array" ref="J334">+_xlfn.XLOOKUP(F334,Hoja5!$C$2:$C$420,Hoja5!$H$2:H$420)</f>
        <v>GPRS</v>
      </c>
      <c r="L334" t="str">
        <f>+_xlfn.XLOOKUP(B334,polaris!$B$2:$B$785,polaris!$C$2:$C$785)</f>
        <v>CARAZA [35027100; AO 11; FONDO ADAPTACION]</v>
      </c>
      <c r="M334" t="b">
        <f t="shared" si="5"/>
        <v>1</v>
      </c>
    </row>
    <row r="335" spans="1:13" x14ac:dyDescent="0.25">
      <c r="A335" s="9">
        <v>334</v>
      </c>
      <c r="B335" s="9">
        <v>457</v>
      </c>
      <c r="C335" s="10" t="s">
        <v>756</v>
      </c>
      <c r="D335" t="str">
        <f>+_xlfn.XLOOKUP(B335,polaris!$B$2:$B$785,polaris!$D$2:$D$785)</f>
        <v>HIDROLÓGICA</v>
      </c>
      <c r="E335"/>
      <c r="F335" s="26">
        <v>52057050</v>
      </c>
      <c r="G335" s="26" t="str" cm="1">
        <f t="array" ref="G335">+_xlfn.XLOOKUP(C335,Hoja1!$E$2:$E$420,Tabla1[Nombre])</f>
        <v>SAN PEDRO  - AUT [52057050]</v>
      </c>
      <c r="H335" t="str">
        <f>+_xlfn.XLOOKUP(F335,Tabla1[Codigo],Tabla1[Nombre])</f>
        <v>SAN PEDRO  - AUT [52057050]</v>
      </c>
      <c r="I335" t="str">
        <f>+_xlfn.XLOOKUP(F335,Hoja5!$C$2:$C$420,Hoja5!$G$2:$G$420)</f>
        <v>EN LINEA</v>
      </c>
      <c r="J335" t="str" cm="1">
        <f t="array" ref="J335">+_xlfn.XLOOKUP(F335,Hoja5!$C$2:$C$420,Hoja5!$H$2:H$420)</f>
        <v>GOES</v>
      </c>
      <c r="L335" t="str">
        <f>+_xlfn.XLOOKUP(B335,polaris!$B$2:$B$785,polaris!$C$2:$C$785)</f>
        <v>SAN PEDRO  - AUT [52057050; NAR; HID; GOES: CB1EB580; AO07; FONDO ADAPTACION]</v>
      </c>
      <c r="M335" t="b">
        <f t="shared" si="5"/>
        <v>1</v>
      </c>
    </row>
    <row r="336" spans="1:13" x14ac:dyDescent="0.25">
      <c r="A336" s="9">
        <v>335</v>
      </c>
      <c r="B336" s="9">
        <v>458</v>
      </c>
      <c r="C336" s="10" t="s">
        <v>757</v>
      </c>
      <c r="D336" t="str">
        <f>+_xlfn.XLOOKUP(B336,polaris!$B$2:$B$785,polaris!$D$2:$D$785)</f>
        <v>HIDROLÓGICA</v>
      </c>
      <c r="E336"/>
      <c r="F336" s="26">
        <v>26187040</v>
      </c>
      <c r="G336" s="26" t="str" cm="1">
        <f t="array" ref="G336">+_xlfn.XLOOKUP(C336,Hoja1!$E$2:$E$420,Tabla1[Nombre])</f>
        <v>QUITASUENO  - AUT [26187040]</v>
      </c>
      <c r="H336" t="str">
        <f>+_xlfn.XLOOKUP(F336,Tabla1[Codigo],Tabla1[Nombre])</f>
        <v>QUITASUENO  - AUT [26187040]</v>
      </c>
      <c r="I336" t="str">
        <f>+_xlfn.XLOOKUP(F336,Hoja5!$C$2:$C$420,Hoja5!$G$2:$G$420)</f>
        <v>EN LINEA</v>
      </c>
      <c r="J336" t="str" cm="1">
        <f t="array" ref="J336">+_xlfn.XLOOKUP(F336,Hoja5!$C$2:$C$420,Hoja5!$H$2:H$420)</f>
        <v>GPRS</v>
      </c>
      <c r="L336" t="str">
        <f>+_xlfn.XLOOKUP(B336,polaris!$B$2:$B$785,polaris!$C$2:$C$785)</f>
        <v>QUITASUEÑO [26187040;AO 01;FONDO ADAPTACION]</v>
      </c>
      <c r="M336" t="b">
        <f t="shared" si="5"/>
        <v>1</v>
      </c>
    </row>
    <row r="337" spans="1:13" x14ac:dyDescent="0.25">
      <c r="A337" s="9">
        <v>336</v>
      </c>
      <c r="B337" s="9">
        <v>459</v>
      </c>
      <c r="C337" s="10" t="s">
        <v>758</v>
      </c>
      <c r="D337" t="str">
        <f>+_xlfn.XLOOKUP(B337,polaris!$B$2:$B$785,polaris!$D$2:$D$785)</f>
        <v>HIDROLÓGICA</v>
      </c>
      <c r="E337"/>
      <c r="F337" s="26">
        <v>2904700095</v>
      </c>
      <c r="G337" s="26" t="str" cm="1">
        <f t="array" ref="G337">+_xlfn.XLOOKUP(C337,Hoja1!$E$2:$E$420,Tabla1[Nombre])</f>
        <v>REMOLINO - MAG - AUT   [2904700095]</v>
      </c>
      <c r="H337" t="str">
        <f>+_xlfn.XLOOKUP(F337,Tabla1[Codigo],Tabla1[Nombre])</f>
        <v>REMOLINO - MAG - AUT   [2904700095]</v>
      </c>
      <c r="I337" t="str">
        <f>+_xlfn.XLOOKUP(F337,Hoja5!$C$2:$C$420,Hoja5!$G$2:$G$420)</f>
        <v>EN LINEA</v>
      </c>
      <c r="J337" t="str" cm="1">
        <f t="array" ref="J337">+_xlfn.XLOOKUP(F337,Hoja5!$C$2:$C$420,Hoja5!$H$2:H$420)</f>
        <v>GPRS</v>
      </c>
      <c r="L337" t="str">
        <f>+_xlfn.XLOOKUP(B337,polaris!$B$2:$B$785,polaris!$C$2:$C$785)</f>
        <v>REMOLINO - MAG - AUT   [2904700095; AO 02; FONDO ADAPTACION]</v>
      </c>
      <c r="M337" t="b">
        <f t="shared" si="5"/>
        <v>1</v>
      </c>
    </row>
    <row r="338" spans="1:13" x14ac:dyDescent="0.25">
      <c r="A338" s="9">
        <v>337</v>
      </c>
      <c r="B338" s="9">
        <v>460</v>
      </c>
      <c r="C338" s="10" t="s">
        <v>759</v>
      </c>
      <c r="D338" t="str">
        <f>+_xlfn.XLOOKUP(B338,polaris!$B$2:$B$785,polaris!$D$2:$D$785)</f>
        <v>HIDROLÓGICA</v>
      </c>
      <c r="E338"/>
      <c r="F338" s="26">
        <v>23067060</v>
      </c>
      <c r="G338" s="26" t="str" cm="1">
        <f t="array" ref="G338">+_xlfn.XLOOKUP(C338,Hoja1!$E$2:$E$420,Tabla1[Nombre])</f>
        <v>TOBIA  - AUT [23067060]</v>
      </c>
      <c r="H338" t="str">
        <f>+_xlfn.XLOOKUP(F338,Tabla1[Codigo],Tabla1[Nombre])</f>
        <v>TOBIA  - AUT [23067060]</v>
      </c>
      <c r="I338" t="str">
        <f>+_xlfn.XLOOKUP(F338,Hoja5!$C$2:$C$420,Hoja5!$G$2:$G$420)</f>
        <v>EN LINEA</v>
      </c>
      <c r="J338" t="str" cm="1">
        <f t="array" ref="J338">+_xlfn.XLOOKUP(F338,Hoja5!$C$2:$C$420,Hoja5!$H$2:H$420)</f>
        <v>GPRS</v>
      </c>
      <c r="L338" t="str">
        <f>+_xlfn.XLOOKUP(B338,polaris!$B$2:$B$785,polaris!$C$2:$C$785)</f>
        <v>TOBIA [23067060; AO 11; FONDO ADAPTACION]</v>
      </c>
      <c r="M338" t="b">
        <f t="shared" si="5"/>
        <v>1</v>
      </c>
    </row>
    <row r="339" spans="1:13" x14ac:dyDescent="0.25">
      <c r="A339" s="9">
        <v>338</v>
      </c>
      <c r="B339" s="9">
        <v>461</v>
      </c>
      <c r="C339" s="10" t="s">
        <v>760</v>
      </c>
      <c r="D339" t="str">
        <f>+_xlfn.XLOOKUP(B339,polaris!$B$2:$B$785,polaris!$D$2:$D$785)</f>
        <v>HIDROLÓGICA</v>
      </c>
      <c r="E339"/>
      <c r="F339" s="26">
        <v>23217080</v>
      </c>
      <c r="G339" s="26" t="str" cm="1">
        <f t="array" ref="G339">+_xlfn.XLOOKUP(C339,Hoja1!$E$2:$E$420,Tabla1[Nombre])</f>
        <v>GAMARRA - AUT [23217080]</v>
      </c>
      <c r="H339" t="str">
        <f>+_xlfn.XLOOKUP(F339,Tabla1[Codigo],Tabla1[Nombre])</f>
        <v>GAMARRA - AUT [23217080]</v>
      </c>
      <c r="I339" t="str">
        <f>+_xlfn.XLOOKUP(F339,Hoja5!$C$2:$C$420,Hoja5!$G$2:$G$420)</f>
        <v>EN LINEA</v>
      </c>
      <c r="J339" t="str" cm="1">
        <f t="array" ref="J339">+_xlfn.XLOOKUP(F339,Hoja5!$C$2:$C$420,Hoja5!$H$2:H$420)</f>
        <v>GPRS</v>
      </c>
      <c r="L339" t="str">
        <f>+_xlfn.XLOOKUP(B339,polaris!$B$2:$B$785,polaris!$C$2:$C$785)</f>
        <v>GAMARRA - AUT [23217080; AO 08; HID; GPRS; FONDO ADAPTACION]</v>
      </c>
      <c r="M339" t="b">
        <f t="shared" si="5"/>
        <v>1</v>
      </c>
    </row>
    <row r="340" spans="1:13" x14ac:dyDescent="0.25">
      <c r="A340" s="9">
        <v>339</v>
      </c>
      <c r="B340" s="9">
        <v>462</v>
      </c>
      <c r="C340" s="10" t="s">
        <v>761</v>
      </c>
      <c r="D340" t="str">
        <f>+_xlfn.XLOOKUP(B340,polaris!$B$2:$B$785,polaris!$D$2:$D$785)</f>
        <v>HIDROLÓGICA</v>
      </c>
      <c r="E340"/>
      <c r="F340" s="26">
        <v>26207080</v>
      </c>
      <c r="G340" s="26" t="str" cm="1">
        <f t="array" ref="G340">+_xlfn.XLOOKUP(C340,Hoja1!$E$2:$E$420,Tabla1[Nombre])</f>
        <v>BOLOMBOLO [26207080]</v>
      </c>
      <c r="H340" t="str">
        <f>+_xlfn.XLOOKUP(F340,Tabla1[Codigo],Tabla1[Nombre])</f>
        <v>BOLOMBOLO [26207080]</v>
      </c>
      <c r="I340" t="str">
        <f>+_xlfn.XLOOKUP(F340,Hoja5!$C$2:$C$420,Hoja5!$G$2:$G$420)</f>
        <v>EN LINEA</v>
      </c>
      <c r="J340" t="str" cm="1">
        <f t="array" ref="J340">+_xlfn.XLOOKUP(F340,Hoja5!$C$2:$C$420,Hoja5!$H$2:H$420)</f>
        <v>GPRS</v>
      </c>
      <c r="L340" t="str">
        <f>+_xlfn.XLOOKUP(B340,polaris!$B$2:$B$785,polaris!$C$2:$C$785)</f>
        <v>BOLOMBOLO [26207080;AO 01;FONDO ADAPTACION]</v>
      </c>
      <c r="M340" t="b">
        <f t="shared" si="5"/>
        <v>1</v>
      </c>
    </row>
    <row r="341" spans="1:13" x14ac:dyDescent="0.25">
      <c r="A341" s="9">
        <v>340</v>
      </c>
      <c r="B341" s="9">
        <v>463</v>
      </c>
      <c r="C341" s="10" t="s">
        <v>762</v>
      </c>
      <c r="D341" t="str">
        <f>+_xlfn.XLOOKUP(B341,polaris!$B$2:$B$785,polaris!$D$2:$D$785)</f>
        <v>METEOROLÓGICA</v>
      </c>
      <c r="E341"/>
      <c r="F341" s="26">
        <v>23085080</v>
      </c>
      <c r="G341" s="26" t="str" cm="1">
        <f t="array" ref="G341">+_xlfn.XLOOKUP(C341,Hoja1!$E$2:$E$420,Tabla1[Nombre])</f>
        <v>GRANJA EXPERIMENTAL EL NUS  - AUT [23085080]</v>
      </c>
      <c r="H341" t="str">
        <f>+_xlfn.XLOOKUP(F341,Tabla1[Codigo],Tabla1[Nombre])</f>
        <v>GRANJA EXPERIMENTAL EL NUS  - AUT [23085080]</v>
      </c>
      <c r="I341" t="str">
        <f>+_xlfn.XLOOKUP(F341,Hoja5!$C$2:$C$420,Hoja5!$G$2:$G$420)</f>
        <v>EN LINEA</v>
      </c>
      <c r="J341" t="str" cm="1">
        <f t="array" ref="J341">+_xlfn.XLOOKUP(F341,Hoja5!$C$2:$C$420,Hoja5!$H$2:H$420)</f>
        <v>GPRS</v>
      </c>
      <c r="L341" t="str">
        <f>+_xlfn.XLOOKUP(B341,polaris!$B$2:$B$785,polaris!$C$2:$C$785)</f>
        <v>GRANJA EXPERIMENTAL EL NUS [23085080;AO 01;FONDO ADAPTACION]</v>
      </c>
      <c r="M341" t="b">
        <f t="shared" si="5"/>
        <v>1</v>
      </c>
    </row>
    <row r="342" spans="1:13" x14ac:dyDescent="0.25">
      <c r="A342" s="9">
        <v>341</v>
      </c>
      <c r="B342" s="9">
        <v>991</v>
      </c>
      <c r="C342" s="10" t="s">
        <v>763</v>
      </c>
      <c r="D342" t="str">
        <f>+_xlfn.XLOOKUP(B342,polaris!$B$2:$B$785,polaris!$D$2:$D$785)</f>
        <v>HIDROLÓGICA</v>
      </c>
      <c r="E342"/>
      <c r="F342" s="26">
        <v>14019030</v>
      </c>
      <c r="G342" s="26" t="str" cm="1">
        <f t="array" ref="G342">+_xlfn.XLOOKUP(C342,Hoja1!$E$2:$E$420,Tabla1[Nombre])</f>
        <v>ESCUELA NAVAL CIOH - AUT [14019030]</v>
      </c>
      <c r="H342" t="str">
        <f>+_xlfn.XLOOKUP(F342,Tabla1[Codigo],Tabla1[Nombre])</f>
        <v>ESCUELA NAVAL CIOH - AUT [14019030]</v>
      </c>
      <c r="I342" t="str">
        <f>+_xlfn.XLOOKUP(F342,Hoja5!$C$2:$C$420,Hoja5!$G$2:$G$420)</f>
        <v>OFFLINE MANUAL</v>
      </c>
      <c r="J342" t="str" cm="1">
        <f t="array" ref="J342">+_xlfn.XLOOKUP(F342,Hoja5!$C$2:$C$420,Hoja5!$H$2:H$420)</f>
        <v>PROC SUSPENSION</v>
      </c>
      <c r="L342" t="str">
        <f>+_xlfn.XLOOKUP(B342,polaris!$B$2:$B$785,polaris!$C$2:$C$785)</f>
        <v>ESCUELA NAVAL CIOH - AUT [14019030; AO02; CANAL DEL DIQUE]</v>
      </c>
      <c r="M342" t="b">
        <f t="shared" si="5"/>
        <v>1</v>
      </c>
    </row>
    <row r="343" spans="1:13" x14ac:dyDescent="0.25">
      <c r="A343" s="9">
        <v>342</v>
      </c>
      <c r="B343" s="9">
        <v>992</v>
      </c>
      <c r="C343" s="10" t="s">
        <v>764</v>
      </c>
      <c r="D343" t="str">
        <f>+_xlfn.XLOOKUP(B343,polaris!$B$2:$B$785,polaris!$D$2:$D$785)</f>
        <v>HIDROLÓGICA</v>
      </c>
      <c r="E343"/>
      <c r="F343" s="26">
        <v>12067001</v>
      </c>
      <c r="G343" s="26" t="str" cm="1">
        <f t="array" ref="G343">+_xlfn.XLOOKUP(C343,Hoja1!$E$2:$E$420,Tabla1[Nombre])</f>
        <v>GUAJARO EMBALSE AUT [12067001]</v>
      </c>
      <c r="H343" t="str">
        <f>+_xlfn.XLOOKUP(F343,Tabla1[Codigo],Tabla1[Nombre])</f>
        <v>GUAJARO EMBALSE AUT [12067001]</v>
      </c>
      <c r="I343" t="str">
        <f>+_xlfn.XLOOKUP(F343,Hoja5!$C$2:$C$420,Hoja5!$G$2:$G$420)</f>
        <v>EN LINEA</v>
      </c>
      <c r="J343" t="str" cm="1">
        <f t="array" ref="J343">+_xlfn.XLOOKUP(F343,Hoja5!$C$2:$C$420,Hoja5!$H$2:H$420)</f>
        <v>GPRS</v>
      </c>
      <c r="L343" t="str">
        <f>+_xlfn.XLOOKUP(B343,polaris!$B$2:$B$785,polaris!$C$2:$C$785)</f>
        <v>GUAJARO EMBALSE AUT [12067001; A0 02; CANAL DEL DIQUE]</v>
      </c>
      <c r="M343" t="b">
        <f t="shared" si="5"/>
        <v>1</v>
      </c>
    </row>
    <row r="344" spans="1:13" x14ac:dyDescent="0.25">
      <c r="A344" s="9">
        <v>343</v>
      </c>
      <c r="B344" s="9">
        <v>994</v>
      </c>
      <c r="C344" s="95" t="s">
        <v>765</v>
      </c>
      <c r="D344" t="str">
        <f>+_xlfn.XLOOKUP(B344,polaris!$B$2:$B$785,polaris!$D$2:$D$785)</f>
        <v>HIDROLÓGICA</v>
      </c>
      <c r="E344"/>
      <c r="F344" s="26">
        <v>29057002</v>
      </c>
      <c r="G344" s="26" t="str" cm="1">
        <f t="array" ref="G344">+_xlfn.XLOOKUP(C344,Hoja1!$E$2:$E$420,Tabla1[Nombre])</f>
        <v>LEQUERICA - AUT - AUT [29057002]</v>
      </c>
      <c r="H344" t="str">
        <f>+_xlfn.XLOOKUP(F344,Tabla1[Codigo],Tabla1[Nombre])</f>
        <v>LEQUERICA - AUT - AUT [29057002]</v>
      </c>
      <c r="I344" t="str">
        <f>+_xlfn.XLOOKUP(F344,Hoja5!$C$2:$C$420,Hoja5!$G$2:$G$420)</f>
        <v>OFFLINE MANUAL</v>
      </c>
      <c r="J344" t="str" cm="1">
        <f t="array" ref="J344">+_xlfn.XLOOKUP(F344,Hoja5!$C$2:$C$420,Hoja5!$H$2:H$420)</f>
        <v>PROC SUSPENSION</v>
      </c>
      <c r="L344" t="str">
        <f>+_xlfn.XLOOKUP(B344,polaris!$B$2:$B$785,polaris!$C$2:$C$785)</f>
        <v>LEQUERICA - AUT - AUT [29057002; AO02; CANAL DEL DIQUE]</v>
      </c>
      <c r="M344" t="b">
        <f t="shared" si="5"/>
        <v>1</v>
      </c>
    </row>
    <row r="345" spans="1:13" x14ac:dyDescent="0.25">
      <c r="A345" s="9">
        <v>344</v>
      </c>
      <c r="B345" s="9">
        <v>995</v>
      </c>
      <c r="C345" s="95" t="s">
        <v>766</v>
      </c>
      <c r="D345" t="str">
        <f>+_xlfn.XLOOKUP(B345,polaris!$B$2:$B$785,polaris!$D$2:$D$785)</f>
        <v>HIDROLÓGICA</v>
      </c>
      <c r="E345"/>
      <c r="F345" s="26">
        <v>29057003</v>
      </c>
      <c r="G345" s="26" t="str" cm="1">
        <f t="array" ref="G345">+_xlfn.XLOOKUP(C345,Hoja1!$E$2:$E$420,Tabla1[Nombre])</f>
        <v>MACHADO  AUT [29057003]</v>
      </c>
      <c r="H345" t="str">
        <f>+_xlfn.XLOOKUP(F345,Tabla1[Codigo],Tabla1[Nombre])</f>
        <v>MACHADO  AUT [29057003]</v>
      </c>
      <c r="I345" t="str">
        <f>+_xlfn.XLOOKUP(F345,Hoja5!$C$2:$C$420,Hoja5!$G$2:$G$420)</f>
        <v>OFFLINE MANUAL</v>
      </c>
      <c r="J345" t="str" cm="1">
        <f t="array" ref="J345">+_xlfn.XLOOKUP(F345,Hoja5!$C$2:$C$420,Hoja5!$H$2:H$420)</f>
        <v>PROC SUSPENSION</v>
      </c>
      <c r="L345" t="str">
        <f>+_xlfn.XLOOKUP(B345,polaris!$B$2:$B$785,polaris!$C$2:$C$785)</f>
        <v>MACHADO  AUT [29057003; AO02; CANAL DEL DIQUE]</v>
      </c>
      <c r="M345" t="b">
        <f t="shared" si="5"/>
        <v>1</v>
      </c>
    </row>
    <row r="346" spans="1:13" x14ac:dyDescent="0.25">
      <c r="A346" s="9">
        <v>345</v>
      </c>
      <c r="B346" s="9">
        <v>997</v>
      </c>
      <c r="C346" s="95" t="s">
        <v>767</v>
      </c>
      <c r="D346" t="str">
        <f>+_xlfn.XLOOKUP(B346,polaris!$B$2:$B$785,polaris!$D$2:$D$785)</f>
        <v>HIDROLÓGICA</v>
      </c>
      <c r="E346"/>
      <c r="F346" s="26">
        <v>29057001</v>
      </c>
      <c r="G346" s="26" t="str" cm="1">
        <f t="array" ref="G346">+_xlfn.XLOOKUP(C346,Hoja1!$E$2:$E$420,Tabla1[Nombre])</f>
        <v>SAN CRISTOBAL - AUT [29057001]</v>
      </c>
      <c r="H346" t="str">
        <f>+_xlfn.XLOOKUP(F346,Tabla1[Codigo],Tabla1[Nombre])</f>
        <v>SAN CRISTOBAL - AUT [29057001]</v>
      </c>
      <c r="I346" t="str">
        <f>+_xlfn.XLOOKUP(F346,Hoja5!$C$2:$C$420,Hoja5!$G$2:$G$420)</f>
        <v>OFFLINE MANUAL</v>
      </c>
      <c r="J346" t="str" cm="1">
        <f t="array" ref="J346">+_xlfn.XLOOKUP(F346,Hoja5!$C$2:$C$420,Hoja5!$H$2:H$420)</f>
        <v>PROC SUSPENSION</v>
      </c>
      <c r="L346" t="str">
        <f>+_xlfn.XLOOKUP(B346,polaris!$B$2:$B$785,polaris!$C$2:$C$785)</f>
        <v>SAN CRISTOBAL - AUT [29057001; AO02; CANAL DEL DIQUE]</v>
      </c>
      <c r="M346" t="b">
        <f t="shared" si="5"/>
        <v>1</v>
      </c>
    </row>
    <row r="347" spans="1:13" x14ac:dyDescent="0.25">
      <c r="A347" s="9">
        <v>346</v>
      </c>
      <c r="B347" s="9">
        <v>999</v>
      </c>
      <c r="C347" s="10" t="s">
        <v>768</v>
      </c>
      <c r="D347" t="str">
        <f>+_xlfn.XLOOKUP(B347,polaris!$B$2:$B$785,polaris!$D$2:$D$785)</f>
        <v>HIDROLÓGICA</v>
      </c>
      <c r="E347"/>
      <c r="F347" s="26">
        <v>29057004</v>
      </c>
      <c r="G347" s="26" t="str" cm="1">
        <f t="array" ref="G347">+_xlfn.XLOOKUP(C347,Hoja1!$E$2:$E$420,Tabla1[Nombre])</f>
        <v>SANTA HELENA..  - AUT  [29057004]</v>
      </c>
      <c r="H347" t="str">
        <f>+_xlfn.XLOOKUP(F347,Tabla1[Codigo],Tabla1[Nombre])</f>
        <v>SANTA HELENA..  - AUT  [29057004]</v>
      </c>
      <c r="I347" t="str">
        <f>+_xlfn.XLOOKUP(F347,Hoja5!$C$2:$C$420,Hoja5!$G$2:$G$420)</f>
        <v>OFFLINE MANUAL</v>
      </c>
      <c r="J347" t="str" cm="1">
        <f t="array" ref="J347">+_xlfn.XLOOKUP(F347,Hoja5!$C$2:$C$420,Hoja5!$H$2:H$420)</f>
        <v>PROC SUSPENSION</v>
      </c>
      <c r="L347" t="str">
        <f>+_xlfn.XLOOKUP(B347,polaris!$B$2:$B$785,polaris!$C$2:$C$785)</f>
        <v>SANTA HELENA..  - AUT  [29057004; AO02; CANAL DEL DIUE]</v>
      </c>
      <c r="M347" t="b">
        <f t="shared" si="5"/>
        <v>1</v>
      </c>
    </row>
    <row r="348" spans="1:13" x14ac:dyDescent="0.25">
      <c r="A348" s="9">
        <v>347</v>
      </c>
      <c r="B348" s="9">
        <v>1100</v>
      </c>
      <c r="C348" s="10" t="s">
        <v>769</v>
      </c>
      <c r="D348" t="str">
        <f>+_xlfn.XLOOKUP(B348,polaris!$B$2:$B$785,polaris!$D$2:$D$785)</f>
        <v>METEOROLÓGICA</v>
      </c>
      <c r="E348"/>
      <c r="F348" s="26">
        <v>33035010</v>
      </c>
      <c r="G348" s="26" t="str" cm="1">
        <f t="array" ref="G348">+_xlfn.XLOOKUP(C348,Hoja1!$E$2:$E$420,Tabla1[Nombre])</f>
        <v>CARIMAGUA - AUT [33035010]</v>
      </c>
      <c r="H348" t="str">
        <f>+_xlfn.XLOOKUP(F348,Tabla1[Codigo],Tabla1[Nombre])</f>
        <v>CARIMAGUA - AUT [33035010]</v>
      </c>
      <c r="I348" t="str">
        <f>+_xlfn.XLOOKUP(F348,Hoja5!$C$2:$C$420,Hoja5!$G$2:$G$420)</f>
        <v>EN LINEA</v>
      </c>
      <c r="J348" t="str" cm="1">
        <f t="array" ref="J348">+_xlfn.XLOOKUP(F348,Hoja5!$C$2:$C$420,Hoja5!$H$2:H$420)</f>
        <v>GOES</v>
      </c>
      <c r="L348" t="str">
        <f>+_xlfn.XLOOKUP(B348,polaris!$B$2:$B$785,polaris!$C$2:$C$785)</f>
        <v>CARIMAGUA - AUT [33035010;AO 03;TERRITORIOS VERDES]</v>
      </c>
      <c r="M348" t="b">
        <f t="shared" si="5"/>
        <v>1</v>
      </c>
    </row>
    <row r="349" spans="1:13" x14ac:dyDescent="0.25">
      <c r="A349" s="9">
        <v>348</v>
      </c>
      <c r="B349" s="9">
        <v>1101</v>
      </c>
      <c r="C349" s="95" t="s">
        <v>770</v>
      </c>
      <c r="D349" t="str">
        <f>+_xlfn.XLOOKUP(B349,polaris!$B$2:$B$785,polaris!$D$2:$D$785)</f>
        <v>HIDROLÓGICA</v>
      </c>
      <c r="E349"/>
      <c r="F349" s="26">
        <v>35097080</v>
      </c>
      <c r="G349" s="26" t="str" cm="1">
        <f t="array" ref="G349">+_xlfn.XLOOKUP(C349,Hoja1!$E$2:$E$420,Tabla1[Nombre])</f>
        <v>CEIBAL EL [35097080]</v>
      </c>
      <c r="H349" t="str">
        <f>+_xlfn.XLOOKUP(F349,Tabla1[Codigo],Tabla1[Nombre])</f>
        <v>CEIBAL EL [35097080]</v>
      </c>
      <c r="I349" t="str">
        <f>+_xlfn.XLOOKUP(F349,Hoja5!$C$2:$C$420,Hoja5!$G$2:$G$420)</f>
        <v>DESCONECTADO</v>
      </c>
      <c r="J349" t="str" cm="1">
        <f t="array" ref="J349">+_xlfn.XLOOKUP(F349,Hoja5!$C$2:$C$420,Hoja5!$H$2:H$420)</f>
        <v>INMARSAT</v>
      </c>
      <c r="L349" t="str">
        <f>+_xlfn.XLOOKUP(B349,polaris!$B$2:$B$785,polaris!$C$2:$C$785)</f>
        <v>CEIBAL EL [35097080;  AO06; HID; GOES IDEAM] SINIESTRO</v>
      </c>
      <c r="M349" t="b">
        <f t="shared" si="5"/>
        <v>1</v>
      </c>
    </row>
    <row r="350" spans="1:13" x14ac:dyDescent="0.25">
      <c r="A350" s="9">
        <v>349</v>
      </c>
      <c r="B350" s="9">
        <v>1104</v>
      </c>
      <c r="C350" s="10" t="s">
        <v>771</v>
      </c>
      <c r="D350" t="str">
        <f>+_xlfn.XLOOKUP(B350,polaris!$B$2:$B$785,polaris!$D$2:$D$785)</f>
        <v>HIDROLÓGICA</v>
      </c>
      <c r="E350"/>
      <c r="F350" s="26">
        <v>25027200</v>
      </c>
      <c r="G350" s="26" t="str" cm="1">
        <f t="array" ref="G350">+_xlfn.XLOOKUP(C350,Hoja1!$E$2:$E$420,Tabla1[Nombre])</f>
        <v>LAS VARAS - AUT [25027200]</v>
      </c>
      <c r="H350" t="str">
        <f>+_xlfn.XLOOKUP(F350,Tabla1[Codigo],Tabla1[Nombre])</f>
        <v>LAS VARAS - AUT [25027200]</v>
      </c>
      <c r="I350" t="str">
        <f>+_xlfn.XLOOKUP(F350,Hoja5!$C$2:$C$420,Hoja5!$G$2:$G$420)</f>
        <v>EN LINEA</v>
      </c>
      <c r="J350" t="str" cm="1">
        <f t="array" ref="J350">+_xlfn.XLOOKUP(F350,Hoja5!$C$2:$C$420,Hoja5!$H$2:H$420)</f>
        <v>GPRS</v>
      </c>
      <c r="L350" t="str">
        <f>+_xlfn.XLOOKUP(B350,polaris!$B$2:$B$785,polaris!$C$2:$C$785)</f>
        <v>LAS VARAS [25027200;AO 01;IDEAM]</v>
      </c>
      <c r="M350" t="b">
        <f t="shared" si="5"/>
        <v>1</v>
      </c>
    </row>
    <row r="351" spans="1:13" x14ac:dyDescent="0.25">
      <c r="A351" s="9">
        <v>350</v>
      </c>
      <c r="B351" s="9">
        <v>1107</v>
      </c>
      <c r="C351" s="10" t="s">
        <v>772</v>
      </c>
      <c r="D351" t="str">
        <f>+_xlfn.XLOOKUP(B351,polaris!$B$2:$B$785,polaris!$D$2:$D$785)</f>
        <v>HIDROLÓGICA</v>
      </c>
      <c r="E351"/>
      <c r="F351" s="26">
        <v>26247020</v>
      </c>
      <c r="G351" s="26" t="str" cm="1">
        <f t="array" ref="G351">+_xlfn.XLOOKUP(C351,Hoja1!$E$2:$E$420,Tabla1[Nombre])</f>
        <v>LA COQUERA - AUT [26247020]</v>
      </c>
      <c r="H351" t="str">
        <f>+_xlfn.XLOOKUP(F351,Tabla1[Codigo],Tabla1[Nombre])</f>
        <v>LA COQUERA - AUT [26247020]</v>
      </c>
      <c r="I351" t="str">
        <f>+_xlfn.XLOOKUP(F351,Hoja5!$C$2:$C$420,Hoja5!$G$2:$G$420)</f>
        <v>EN LINEA</v>
      </c>
      <c r="J351" t="str" cm="1">
        <f t="array" ref="J351">+_xlfn.XLOOKUP(F351,Hoja5!$C$2:$C$420,Hoja5!$H$2:H$420)</f>
        <v>GPRS</v>
      </c>
      <c r="L351" t="str">
        <f>+_xlfn.XLOOKUP(B351,polaris!$B$2:$B$785,polaris!$C$2:$C$785)</f>
        <v>LA COQUERA [26247020;AO 01;IDEAM]</v>
      </c>
      <c r="M351" t="b">
        <f t="shared" si="5"/>
        <v>1</v>
      </c>
    </row>
    <row r="352" spans="1:13" x14ac:dyDescent="0.25">
      <c r="A352" s="9">
        <v>351</v>
      </c>
      <c r="B352" s="9">
        <v>1112</v>
      </c>
      <c r="C352" s="10" t="s">
        <v>773</v>
      </c>
      <c r="D352" t="str">
        <f>+_xlfn.XLOOKUP(B352,polaris!$B$2:$B$785,polaris!$D$2:$D$785)</f>
        <v>HIDROLÓGICA</v>
      </c>
      <c r="E352"/>
      <c r="F352" s="26">
        <v>26127010</v>
      </c>
      <c r="G352" s="26" t="str" cm="1">
        <f t="array" ref="G352">+_xlfn.XLOOKUP(C352,Hoja1!$E$2:$E$420,Tabla1[Nombre])</f>
        <v>EL ALAMBRADO AUT [26127010]</v>
      </c>
      <c r="H352" t="str">
        <f>+_xlfn.XLOOKUP(F352,Tabla1[Codigo],Tabla1[Nombre])</f>
        <v>EL ALAMBRADO AUT [26127010]</v>
      </c>
      <c r="I352" t="str">
        <f>+_xlfn.XLOOKUP(F352,Hoja5!$C$2:$C$420,Hoja5!$G$2:$G$420)</f>
        <v>EN LINEA</v>
      </c>
      <c r="J352" t="str" cm="1">
        <f t="array" ref="J352">+_xlfn.XLOOKUP(F352,Hoja5!$C$2:$C$420,Hoja5!$H$2:H$420)</f>
        <v>GOES</v>
      </c>
      <c r="L352" t="str">
        <f>+_xlfn.XLOOKUP(B352,polaris!$B$2:$B$785,polaris!$C$2:$C$785)</f>
        <v>EL ALAMBRADO [26127010; QUIN; HID; GOES: CB05842C; AO09; IDEAM]</v>
      </c>
      <c r="M352" t="b">
        <f t="shared" si="5"/>
        <v>1</v>
      </c>
    </row>
    <row r="353" spans="1:13" x14ac:dyDescent="0.25">
      <c r="A353" s="9">
        <v>352</v>
      </c>
      <c r="B353" s="9">
        <v>1116</v>
      </c>
      <c r="C353" s="10" t="s">
        <v>774</v>
      </c>
      <c r="D353" t="str">
        <f>+_xlfn.XLOOKUP(B353,polaris!$B$2:$B$785,polaris!$D$2:$D$785)</f>
        <v>HIDROLÓGICA</v>
      </c>
      <c r="E353"/>
      <c r="F353" s="26">
        <v>42077020</v>
      </c>
      <c r="G353" s="26" t="str" cm="1">
        <f t="array" ref="G353">+_xlfn.XLOOKUP(C353,Hoja1!$E$2:$E$420,Tabla1[Nombre])</f>
        <v>MITU [42077020]</v>
      </c>
      <c r="H353" t="str">
        <f>+_xlfn.XLOOKUP(F353,Tabla1[Codigo],Tabla1[Nombre])</f>
        <v>MITU [42077020]</v>
      </c>
      <c r="I353" t="str">
        <f>+_xlfn.XLOOKUP(F353,Hoja5!$C$2:$C$420,Hoja5!$G$2:$G$420)</f>
        <v>EN LINEA</v>
      </c>
      <c r="J353" t="str" cm="1">
        <f t="array" ref="J353">+_xlfn.XLOOKUP(F353,Hoja5!$C$2:$C$420,Hoja5!$H$2:H$420)</f>
        <v>GOES</v>
      </c>
      <c r="L353" t="str">
        <f>+_xlfn.XLOOKUP(B353,polaris!$B$2:$B$785,polaris!$C$2:$C$785)</f>
        <v>MITU [42077020;AO 03;FONDO ADAPTACION]</v>
      </c>
      <c r="M353" t="b">
        <f t="shared" si="5"/>
        <v>1</v>
      </c>
    </row>
    <row r="354" spans="1:13" x14ac:dyDescent="0.25">
      <c r="A354" s="9">
        <v>353</v>
      </c>
      <c r="B354" s="9">
        <v>1122</v>
      </c>
      <c r="C354" s="10" t="s">
        <v>775</v>
      </c>
      <c r="D354" t="str">
        <f>+_xlfn.XLOOKUP(B354,polaris!$B$2:$B$785,polaris!$D$2:$D$785)</f>
        <v>HIDROLÓGICA</v>
      </c>
      <c r="E354"/>
      <c r="F354" s="26">
        <v>23127020</v>
      </c>
      <c r="G354" s="26" t="str" cm="1">
        <f t="array" ref="G354">+_xlfn.XLOOKUP(C354,Hoja1!$E$2:$E$420,Tabla1[Nombre])</f>
        <v>PUERTO ARAUJO - AUT [23127020]</v>
      </c>
      <c r="H354" t="str">
        <f>+_xlfn.XLOOKUP(F354,Tabla1[Codigo],Tabla1[Nombre])</f>
        <v>PUERTO ARAUJO - AUT [23127020]</v>
      </c>
      <c r="I354" t="str">
        <f>+_xlfn.XLOOKUP(F354,Hoja5!$C$2:$C$420,Hoja5!$G$2:$G$420)</f>
        <v>EN LINEA</v>
      </c>
      <c r="J354" t="str" cm="1">
        <f t="array" ref="J354">+_xlfn.XLOOKUP(F354,Hoja5!$C$2:$C$420,Hoja5!$H$2:H$420)</f>
        <v>GOES</v>
      </c>
      <c r="L354" t="str">
        <f>+_xlfn.XLOOKUP(B354,polaris!$B$2:$B$785,polaris!$C$2:$C$785)</f>
        <v>PUERTO ARAUJO - AUT [23127020; SAN; HID; LG; AO08; OTT; GOES: CB0F9608; HX; IDEAM]</v>
      </c>
      <c r="M354" t="b">
        <f t="shared" si="5"/>
        <v>1</v>
      </c>
    </row>
    <row r="355" spans="1:13" x14ac:dyDescent="0.25">
      <c r="A355" s="9">
        <v>354</v>
      </c>
      <c r="B355" s="9">
        <v>1123</v>
      </c>
      <c r="C355" s="10" t="s">
        <v>776</v>
      </c>
      <c r="D355" t="str">
        <f>+_xlfn.XLOOKUP(B355,polaris!$B$2:$B$785,polaris!$D$2:$D$785)</f>
        <v>HIDROLÓGICA</v>
      </c>
      <c r="E355"/>
      <c r="F355" s="26">
        <v>51027050</v>
      </c>
      <c r="G355" s="26" t="str" cm="1">
        <f t="array" ref="G355">+_xlfn.XLOOKUP(C355,Hoja1!$E$2:$E$420,Tabla1[Nombre])</f>
        <v>PIPIGUAY [51027050]</v>
      </c>
      <c r="H355" t="str">
        <f>+_xlfn.XLOOKUP(F355,Tabla1[Codigo],Tabla1[Nombre])</f>
        <v>PIPIGUAY [51027050]</v>
      </c>
      <c r="I355" t="str">
        <f>+_xlfn.XLOOKUP(F355,Hoja5!$C$2:$C$420,Hoja5!$G$2:$G$420)</f>
        <v>EN LINEA</v>
      </c>
      <c r="J355" t="str" cm="1">
        <f t="array" ref="J355">+_xlfn.XLOOKUP(F355,Hoja5!$C$2:$C$420,Hoja5!$H$2:H$420)</f>
        <v>GPRS</v>
      </c>
      <c r="L355" t="str">
        <f>+_xlfn.XLOOKUP(B355,polaris!$B$2:$B$785,polaris!$C$2:$C$785)</f>
        <v>PIPIGUAY [51027050; AO 07 ; IDEAM]</v>
      </c>
      <c r="M355" t="b">
        <f t="shared" si="5"/>
        <v>1</v>
      </c>
    </row>
    <row r="356" spans="1:13" x14ac:dyDescent="0.25">
      <c r="A356" s="9">
        <v>355</v>
      </c>
      <c r="B356" s="9">
        <v>1127</v>
      </c>
      <c r="C356" s="10" t="s">
        <v>777</v>
      </c>
      <c r="D356" t="str">
        <f>+_xlfn.XLOOKUP(B356,polaris!$B$2:$B$785,polaris!$D$2:$D$785)</f>
        <v>METEOROLÓGICA</v>
      </c>
      <c r="E356"/>
      <c r="F356" s="26">
        <v>51025090</v>
      </c>
      <c r="G356" s="26" t="str" cm="1">
        <f t="array" ref="G356">+_xlfn.XLOOKUP(C356,Hoja1!$E$2:$E$420,Tabla1[Nombre])</f>
        <v>GRANJA EL MIRA - - AUT [51025090]</v>
      </c>
      <c r="H356" t="str">
        <f>+_xlfn.XLOOKUP(F356,Tabla1[Codigo],Tabla1[Nombre])</f>
        <v>GRANJA EL MIRA - - AUT [51025090]</v>
      </c>
      <c r="I356" t="str">
        <f>+_xlfn.XLOOKUP(F356,Hoja5!$C$2:$C$420,Hoja5!$G$2:$G$420)</f>
        <v>EN LINEA</v>
      </c>
      <c r="J356" t="str" cm="1">
        <f t="array" ref="J356">+_xlfn.XLOOKUP(F356,Hoja5!$C$2:$C$420,Hoja5!$H$2:H$420)</f>
        <v>GPRS</v>
      </c>
      <c r="L356" t="str">
        <f>+_xlfn.XLOOKUP(B356,polaris!$B$2:$B$785,polaris!$C$2:$C$785)</f>
        <v>GRANJA EL MIRA - AUT [51025090; AO 07;IDEAM]</v>
      </c>
      <c r="M356" t="b">
        <f t="shared" si="5"/>
        <v>1</v>
      </c>
    </row>
    <row r="357" spans="1:13" x14ac:dyDescent="0.25">
      <c r="A357" s="9">
        <v>356</v>
      </c>
      <c r="B357" s="9">
        <v>1133</v>
      </c>
      <c r="C357" s="10" t="s">
        <v>778</v>
      </c>
      <c r="D357" t="str">
        <f>+_xlfn.XLOOKUP(B357,polaris!$B$2:$B$785,polaris!$D$2:$D$785)</f>
        <v>HIDROLÓGICA</v>
      </c>
      <c r="E357"/>
      <c r="F357" s="26">
        <v>44197020</v>
      </c>
      <c r="G357" s="26" t="str" cm="1">
        <f t="array" ref="G357">+_xlfn.XLOOKUP(C357,Hoja1!$E$2:$E$420,Tabla1[Nombre])</f>
        <v>VILLARREAL [44197020]</v>
      </c>
      <c r="H357" t="str">
        <f>+_xlfn.XLOOKUP(F357,Tabla1[Codigo],Tabla1[Nombre])</f>
        <v>VILLARREAL [44197020]</v>
      </c>
      <c r="I357" t="str">
        <f>+_xlfn.XLOOKUP(F357,Hoja5!$C$2:$C$420,Hoja5!$G$2:$G$420)</f>
        <v>OFFLINE MANUAL</v>
      </c>
      <c r="J357" t="str" cm="1">
        <f t="array" ref="J357">+_xlfn.XLOOKUP(F357,Hoja5!$C$2:$C$420,Hoja5!$H$2:H$420)</f>
        <v>ORDEN PÚBLICO</v>
      </c>
      <c r="L357" t="str">
        <f>+_xlfn.XLOOKUP(B357,polaris!$B$2:$B$785,polaris!$C$2:$C$785)</f>
        <v>VILLARREAL [44197020; AO11; IDEAM]</v>
      </c>
      <c r="M357" t="b">
        <f t="shared" si="5"/>
        <v>1</v>
      </c>
    </row>
    <row r="358" spans="1:13" x14ac:dyDescent="0.25">
      <c r="A358" s="9">
        <v>357</v>
      </c>
      <c r="B358" s="9">
        <v>1192</v>
      </c>
      <c r="C358" s="10" t="s">
        <v>779</v>
      </c>
      <c r="D358" t="str">
        <f>+_xlfn.XLOOKUP(B358,polaris!$B$2:$B$785,polaris!$D$2:$D$785)</f>
        <v>METEOROLÓGICA</v>
      </c>
      <c r="E358"/>
      <c r="F358" s="26">
        <v>26155110</v>
      </c>
      <c r="G358" s="26" t="str" cm="1">
        <f t="array" ref="G358">+_xlfn.XLOOKUP(C358,Hoja1!$E$2:$E$420,Tabla1[Nombre])</f>
        <v>AEROPUERTO LA NUBIA AUT [26155110]</v>
      </c>
      <c r="H358" t="str">
        <f>+_xlfn.XLOOKUP(F358,Tabla1[Codigo],Tabla1[Nombre])</f>
        <v>AEROPUERTO LA NUBIA AUT [26155110]</v>
      </c>
      <c r="I358" t="str">
        <f>+_xlfn.XLOOKUP(F358,Hoja5!$C$2:$C$420,Hoja5!$G$2:$G$420)</f>
        <v>EN LINEA</v>
      </c>
      <c r="J358" t="str" cm="1">
        <f t="array" ref="J358">+_xlfn.XLOOKUP(F358,Hoja5!$C$2:$C$420,Hoja5!$H$2:H$420)</f>
        <v>GPRS</v>
      </c>
      <c r="L358" t="str">
        <f>+_xlfn.XLOOKUP(B358,polaris!$B$2:$B$785,polaris!$C$2:$C$785)</f>
        <v>AEROPUERTO LA NUBIA [26155110; AO 09; MET; GPRS, FONDO ADAPTACION]</v>
      </c>
      <c r="M358" t="b">
        <f t="shared" si="5"/>
        <v>1</v>
      </c>
    </row>
    <row r="359" spans="1:13" x14ac:dyDescent="0.25">
      <c r="A359" s="9">
        <v>358</v>
      </c>
      <c r="B359" s="9">
        <v>1504</v>
      </c>
      <c r="C359" s="10" t="s">
        <v>780</v>
      </c>
      <c r="D359" t="str">
        <f>+_xlfn.XLOOKUP(B359,polaris!$B$2:$B$785,polaris!$D$2:$D$785)</f>
        <v>HIDROLÓGICA</v>
      </c>
      <c r="E359"/>
      <c r="F359" s="26">
        <v>35227070</v>
      </c>
      <c r="G359" s="26" t="str" cm="1">
        <f t="array" ref="G359">+_xlfn.XLOOKUP(C359,Hoja1!$E$2:$E$420,Tabla1[Nombre])</f>
        <v>OROCUE BRAZO DERECHO [35227070]</v>
      </c>
      <c r="H359" t="str">
        <f>+_xlfn.XLOOKUP(F359,Tabla1[Codigo],Tabla1[Nombre])</f>
        <v>OROCUE BRAZO DERECHO [35227070]</v>
      </c>
      <c r="I359" t="str">
        <f>+_xlfn.XLOOKUP(F359,Hoja5!$C$2:$C$420,Hoja5!$G$2:$G$420)</f>
        <v>OFFLINE MANUAL</v>
      </c>
      <c r="J359" t="str" cm="1">
        <f t="array" ref="J359">+_xlfn.XLOOKUP(F359,Hoja5!$C$2:$C$420,Hoja5!$H$2:H$420)</f>
        <v>PROC SUSPENSION</v>
      </c>
      <c r="L359" t="str">
        <f>+_xlfn.XLOOKUP(B359,polaris!$B$2:$B$785,polaris!$C$2:$C$785)</f>
        <v>OROCUE BRAZO DERECHO [35227070;AO 03;PAREX 4]</v>
      </c>
      <c r="M359" t="b">
        <f t="shared" si="5"/>
        <v>1</v>
      </c>
    </row>
    <row r="360" spans="1:13" x14ac:dyDescent="0.25">
      <c r="A360" s="9">
        <v>359</v>
      </c>
      <c r="B360" s="9">
        <v>1652</v>
      </c>
      <c r="C360" s="10" t="s">
        <v>781</v>
      </c>
      <c r="D360" t="str">
        <f>+_xlfn.XLOOKUP(B360,polaris!$B$2:$B$785,polaris!$D$2:$D$785)</f>
        <v>METEOROLÓGICA</v>
      </c>
      <c r="E360"/>
      <c r="F360" s="26">
        <v>11080010</v>
      </c>
      <c r="G360" s="26" t="str" cm="1">
        <f t="array" ref="G360">+_xlfn.XLOOKUP(C360,Hoja1!$E$2:$E$420,Tabla1[Nombre])</f>
        <v>BELLAVISTA [11080010]</v>
      </c>
      <c r="H360" t="str">
        <f>+_xlfn.XLOOKUP(F360,Tabla1[Codigo],Tabla1[Nombre])</f>
        <v>BELLAVISTA [11080010]</v>
      </c>
      <c r="I360" t="str">
        <f>+_xlfn.XLOOKUP(F360,Hoja5!$C$2:$C$420,Hoja5!$G$2:$G$420)</f>
        <v>EN LINEA</v>
      </c>
      <c r="J360" t="str" cm="1">
        <f t="array" ref="J360">+_xlfn.XLOOKUP(F360,Hoja5!$C$2:$C$420,Hoja5!$H$2:H$420)</f>
        <v>GOES</v>
      </c>
      <c r="L360" t="str">
        <f>+_xlfn.XLOOKUP(B360,polaris!$B$2:$B$785,polaris!$C$2:$C$785)</f>
        <v>BELLAVISTA [11080010;AO 01;PROYECTO CHOCO]</v>
      </c>
      <c r="M360" t="b">
        <f t="shared" si="5"/>
        <v>1</v>
      </c>
    </row>
    <row r="361" spans="1:13" x14ac:dyDescent="0.25">
      <c r="A361" s="9">
        <v>360</v>
      </c>
      <c r="B361" s="9">
        <v>1654</v>
      </c>
      <c r="C361" s="10" t="s">
        <v>782</v>
      </c>
      <c r="D361" t="str">
        <f>+_xlfn.XLOOKUP(B361,polaris!$B$2:$B$785,polaris!$D$2:$D$785)</f>
        <v>HIDROLÓGICA</v>
      </c>
      <c r="E361"/>
      <c r="F361" s="26">
        <v>54057020</v>
      </c>
      <c r="G361" s="26" t="str" cm="1">
        <f t="array" ref="G361">+_xlfn.XLOOKUP(C361,Hoja1!$E$2:$E$420,Tabla1[Nombre])</f>
        <v>LITORAL SAN JUAN - AUT  [54057020]</v>
      </c>
      <c r="H361" t="str">
        <f>+_xlfn.XLOOKUP(F361,Tabla1[Codigo],Tabla1[Nombre])</f>
        <v>LITORAL SAN JUAN - AUT  [54057020]</v>
      </c>
      <c r="I361" t="str">
        <f>+_xlfn.XLOOKUP(F361,Hoja5!$C$2:$C$420,Hoja5!$G$2:$G$420)</f>
        <v>OFFLINE MANUAL</v>
      </c>
      <c r="J361" t="str" cm="1">
        <f t="array" ref="J361">+_xlfn.XLOOKUP(F361,Hoja5!$C$2:$C$420,Hoja5!$H$2:H$420)</f>
        <v>PROC SUSPENSION</v>
      </c>
      <c r="L361" t="str">
        <f>+_xlfn.XLOOKUP(B361,polaris!$B$2:$B$785,polaris!$C$2:$C$785)</f>
        <v>LITORAL SAN JUAN - AUT  [54057020; VDC; HID; GOES:CB11A064; AO09; PROYECTO CHOCO]</v>
      </c>
      <c r="M361" t="b">
        <f t="shared" si="5"/>
        <v>1</v>
      </c>
    </row>
    <row r="362" spans="1:13" x14ac:dyDescent="0.25">
      <c r="A362" s="9">
        <v>361</v>
      </c>
      <c r="B362" s="9">
        <v>1655</v>
      </c>
      <c r="C362" s="95" t="s">
        <v>783</v>
      </c>
      <c r="D362" t="str">
        <f>+_xlfn.XLOOKUP(B362,polaris!$B$2:$B$785,polaris!$D$2:$D$785)</f>
        <v>METEOROLÓGICA</v>
      </c>
      <c r="E362"/>
      <c r="F362" s="26">
        <v>11105020</v>
      </c>
      <c r="G362" s="26" t="str" cm="1">
        <f t="array" ref="G362">+_xlfn.XLOOKUP(C362,Hoja1!$E$2:$E$420,Tabla1[Nombre])</f>
        <v>CARMEN DEL DARIEN -AUT [11105020]</v>
      </c>
      <c r="H362" t="str">
        <f>+_xlfn.XLOOKUP(F362,Tabla1[Codigo],Tabla1[Nombre])</f>
        <v>CARMEN DEL DARIEN -AUT [11105020]</v>
      </c>
      <c r="I362" t="str">
        <f>+_xlfn.XLOOKUP(F362,Hoja5!$C$2:$C$420,Hoja5!$G$2:$G$420)</f>
        <v>OFFLINE MANUAL</v>
      </c>
      <c r="J362" t="str" cm="1">
        <f t="array" ref="J362">+_xlfn.XLOOKUP(F362,Hoja5!$C$2:$C$420,Hoja5!$H$2:H$420)</f>
        <v>PROC SUSPENSION</v>
      </c>
      <c r="L362" t="str">
        <f>+_xlfn.XLOOKUP(B362,polaris!$B$2:$B$785,polaris!$C$2:$C$785)</f>
        <v>CARMEN DEL DARIEN [11105020;AO 01;PROCESO DE SUSPENSIÓN]</v>
      </c>
      <c r="M362" t="b">
        <f t="shared" si="5"/>
        <v>1</v>
      </c>
    </row>
    <row r="363" spans="1:13" x14ac:dyDescent="0.25">
      <c r="A363" s="9">
        <v>362</v>
      </c>
      <c r="B363" s="9">
        <v>1657</v>
      </c>
      <c r="C363" s="10" t="s">
        <v>784</v>
      </c>
      <c r="D363" t="str">
        <f>+_xlfn.XLOOKUP(B363,polaris!$B$2:$B$785,polaris!$D$2:$D$785)</f>
        <v>HIDROLÓGICA</v>
      </c>
      <c r="E363"/>
      <c r="F363" s="26">
        <v>11017020</v>
      </c>
      <c r="G363" s="26" t="str" cm="1">
        <f t="array" ref="G363">+_xlfn.XLOOKUP(C363,Hoja1!$E$2:$E$420,Tabla1[Nombre])</f>
        <v>BAGADO [11017020]</v>
      </c>
      <c r="H363" t="str">
        <f>+_xlfn.XLOOKUP(F363,Tabla1[Codigo],Tabla1[Nombre])</f>
        <v>BAGADO [11017020]</v>
      </c>
      <c r="I363" t="str">
        <f>+_xlfn.XLOOKUP(F363,Hoja5!$C$2:$C$420,Hoja5!$G$2:$G$420)</f>
        <v>OFFLINE MANUAL</v>
      </c>
      <c r="J363" t="str" cm="1">
        <f t="array" ref="J363">+_xlfn.XLOOKUP(F363,Hoja5!$C$2:$C$420,Hoja5!$H$2:H$420)</f>
        <v>PROC SUSPENSION</v>
      </c>
      <c r="L363" t="str">
        <f>+_xlfn.XLOOKUP(B363,polaris!$B$2:$B$785,polaris!$C$2:$C$785)</f>
        <v>BAGADO [11017020; AO 01;SINIESTRO; PROCESO DE SUSPENCIÓN]</v>
      </c>
      <c r="M363" t="b">
        <f t="shared" si="5"/>
        <v>1</v>
      </c>
    </row>
    <row r="364" spans="1:13" x14ac:dyDescent="0.25">
      <c r="A364" s="9">
        <v>363</v>
      </c>
      <c r="B364" s="9">
        <v>1659</v>
      </c>
      <c r="C364" s="10" t="s">
        <v>785</v>
      </c>
      <c r="D364" t="str">
        <f>+_xlfn.XLOOKUP(B364,polaris!$B$2:$B$785,polaris!$D$2:$D$785)</f>
        <v>METEOROLÓGICA</v>
      </c>
      <c r="E364"/>
      <c r="F364" s="26">
        <v>11035030</v>
      </c>
      <c r="G364" s="26" t="str" cm="1">
        <f t="array" ref="G364">+_xlfn.XLOOKUP(C364,Hoja1!$E$2:$E$420,Tabla1[Nombre])</f>
        <v>UNION PANAMERICANA - AUT  [11035030]</v>
      </c>
      <c r="H364" t="str">
        <f>+_xlfn.XLOOKUP(F364,Tabla1[Codigo],Tabla1[Nombre])</f>
        <v>UNION PANAMERICANA - AUT  [11035030]</v>
      </c>
      <c r="I364" t="str">
        <f>+_xlfn.XLOOKUP(F364,Hoja5!$C$2:$C$420,Hoja5!$G$2:$G$420)</f>
        <v>EN LINEA</v>
      </c>
      <c r="J364" t="str" cm="1">
        <f t="array" ref="J364">+_xlfn.XLOOKUP(F364,Hoja5!$C$2:$C$420,Hoja5!$H$2:H$420)</f>
        <v>GPRS</v>
      </c>
      <c r="L364" t="str">
        <f>+_xlfn.XLOOKUP(B364,polaris!$B$2:$B$785,polaris!$C$2:$C$785)</f>
        <v>UNION PANAMERICANA - AUT  [11035030; AO 09; GPRS; PROYECTO CHOCO]</v>
      </c>
      <c r="M364" t="b">
        <f t="shared" si="5"/>
        <v>1</v>
      </c>
    </row>
    <row r="365" spans="1:13" x14ac:dyDescent="0.25">
      <c r="A365" s="9">
        <v>364</v>
      </c>
      <c r="B365" s="9">
        <v>1661</v>
      </c>
      <c r="C365" s="95" t="s">
        <v>786</v>
      </c>
      <c r="D365" t="str">
        <f>+_xlfn.XLOOKUP(B365,polaris!$B$2:$B$785,polaris!$D$2:$D$785)</f>
        <v>METEOROLÓGICA</v>
      </c>
      <c r="E365"/>
      <c r="F365" s="26">
        <v>55015020</v>
      </c>
      <c r="G365" s="26" t="str" cm="1">
        <f t="array" ref="G365">+_xlfn.XLOOKUP(C365,Hoja1!$E$2:$E$420,Tabla1[Nombre])</f>
        <v>BAJO BAUDO - AUT  [55015020]</v>
      </c>
      <c r="H365" t="str">
        <f>+_xlfn.XLOOKUP(F365,Tabla1[Codigo],Tabla1[Nombre])</f>
        <v>BAJO BAUDO - AUT  [55015020]</v>
      </c>
      <c r="I365" t="str">
        <f>+_xlfn.XLOOKUP(F365,Hoja5!$C$2:$C$420,Hoja5!$G$2:$G$420)</f>
        <v>SINIESTRO</v>
      </c>
      <c r="J365" t="str" cm="1">
        <f t="array" ref="J365">+_xlfn.XLOOKUP(F365,Hoja5!$C$2:$C$420,Hoja5!$H$2:H$420)</f>
        <v>SINIESTRO</v>
      </c>
      <c r="L365" t="str">
        <f>+_xlfn.XLOOKUP(B365,polaris!$B$2:$B$785,polaris!$C$2:$C$785)</f>
        <v>BAJO BAUDO - AUT  [55015020; CHO; MET; GOES:CB03C7E8; AO09; PROYECTO CHOCO]</v>
      </c>
      <c r="M365" t="b">
        <f t="shared" si="5"/>
        <v>1</v>
      </c>
    </row>
    <row r="366" spans="1:13" x14ac:dyDescent="0.25">
      <c r="A366" s="9">
        <v>365</v>
      </c>
      <c r="B366" s="9">
        <v>1663</v>
      </c>
      <c r="C366" s="10" t="s">
        <v>787</v>
      </c>
      <c r="D366" t="str">
        <f>+_xlfn.XLOOKUP(B366,polaris!$B$2:$B$785,polaris!$D$2:$D$785)</f>
        <v>METEOROLÓGICA</v>
      </c>
      <c r="E366"/>
      <c r="F366" s="26">
        <v>54020020</v>
      </c>
      <c r="G366" s="26" t="str" cm="1">
        <f t="array" ref="G366">+_xlfn.XLOOKUP(C366,Hoja1!$E$2:$E$420,Tabla1[Nombre])</f>
        <v>NOVITA [54020020]</v>
      </c>
      <c r="H366" t="str">
        <f>+_xlfn.XLOOKUP(F366,Tabla1[Codigo],Tabla1[Nombre])</f>
        <v>NOVITA [54020020]</v>
      </c>
      <c r="I366" t="str">
        <f>+_xlfn.XLOOKUP(F366,Hoja5!$C$2:$C$420,Hoja5!$G$2:$G$420)</f>
        <v>EN LINEA</v>
      </c>
      <c r="J366" t="str" cm="1">
        <f t="array" ref="J366">+_xlfn.XLOOKUP(F366,Hoja5!$C$2:$C$420,Hoja5!$H$2:H$420)</f>
        <v>GPRS</v>
      </c>
      <c r="L366" t="str">
        <f>+_xlfn.XLOOKUP(B366,polaris!$B$2:$B$785,polaris!$C$2:$C$785)</f>
        <v>NOVITA [54020020; AO 09; MET; GPRS; PROYECTO CHOCO]</v>
      </c>
      <c r="M366" t="b">
        <f t="shared" si="5"/>
        <v>1</v>
      </c>
    </row>
    <row r="367" spans="1:13" x14ac:dyDescent="0.25">
      <c r="A367" s="9">
        <v>366</v>
      </c>
      <c r="B367" s="9">
        <v>1667</v>
      </c>
      <c r="C367" s="95" t="s">
        <v>788</v>
      </c>
      <c r="D367" t="str">
        <f>+_xlfn.XLOOKUP(B367,polaris!$B$2:$B$785,polaris!$D$2:$D$785)</f>
        <v>METEOROLÓGICA</v>
      </c>
      <c r="E367"/>
      <c r="F367" s="26">
        <v>56010040</v>
      </c>
      <c r="G367" s="26" t="str" cm="1">
        <f t="array" ref="G367">+_xlfn.XLOOKUP(C367,Hoja1!$E$2:$E$420,Tabla1[Nombre])</f>
        <v>NUQUI [56010040]</v>
      </c>
      <c r="H367" t="str">
        <f>+_xlfn.XLOOKUP(F367,Tabla1[Codigo],Tabla1[Nombre])</f>
        <v>NUQUI [56010040]</v>
      </c>
      <c r="I367" t="str">
        <f>+_xlfn.XLOOKUP(F367,Hoja5!$C$2:$C$420,Hoja5!$G$2:$G$420)</f>
        <v>DESCONECTADO</v>
      </c>
      <c r="J367" t="str" cm="1">
        <f t="array" ref="J367">+_xlfn.XLOOKUP(F367,Hoja5!$C$2:$C$420,Hoja5!$H$2:H$420)</f>
        <v>GOES</v>
      </c>
      <c r="L367" t="str">
        <f>+_xlfn.XLOOKUP(B367,polaris!$B$2:$B$785,polaris!$C$2:$C$785)</f>
        <v>NUQUI [56010040;AO 01;PROYECTO CHOCO]</v>
      </c>
      <c r="M367" t="b">
        <f t="shared" si="5"/>
        <v>1</v>
      </c>
    </row>
    <row r="368" spans="1:13" x14ac:dyDescent="0.25">
      <c r="A368" s="9">
        <v>367</v>
      </c>
      <c r="B368" s="9">
        <v>1668</v>
      </c>
      <c r="C368" s="95" t="s">
        <v>789</v>
      </c>
      <c r="D368" t="str">
        <f>+_xlfn.XLOOKUP(B368,polaris!$B$2:$B$785,polaris!$D$2:$D$785)</f>
        <v>METEOROLÓGICA</v>
      </c>
      <c r="E368"/>
      <c r="F368" s="26">
        <v>11120040</v>
      </c>
      <c r="G368" s="26" t="str" cm="1">
        <f t="array" ref="G368">+_xlfn.XLOOKUP(C368,Hoja1!$E$2:$E$420,Tabla1[Nombre])</f>
        <v>RIOSUCIO [11120040]</v>
      </c>
      <c r="H368" t="str">
        <f>+_xlfn.XLOOKUP(F368,Tabla1[Codigo],Tabla1[Nombre])</f>
        <v>RIOSUCIO [11120040]</v>
      </c>
      <c r="I368" t="str">
        <f>+_xlfn.XLOOKUP(F368,Hoja5!$C$2:$C$420,Hoja5!$G$2:$G$420)</f>
        <v>OFFLINE MANUAL</v>
      </c>
      <c r="J368" t="str" cm="1">
        <f t="array" ref="J368">+_xlfn.XLOOKUP(F368,Hoja5!$C$2:$C$420,Hoja5!$H$2:H$420)</f>
        <v>PROC SUSPENSION</v>
      </c>
      <c r="L368" t="str">
        <f>+_xlfn.XLOOKUP(B368,polaris!$B$2:$B$785,polaris!$C$2:$C$785)</f>
        <v>RIOSUCIO [11120040;AO 01;PROYECTO CHOCO]</v>
      </c>
      <c r="M368" t="b">
        <f t="shared" si="5"/>
        <v>1</v>
      </c>
    </row>
    <row r="369" spans="1:69" x14ac:dyDescent="0.25">
      <c r="A369" s="9">
        <v>368</v>
      </c>
      <c r="B369" s="9">
        <v>1672</v>
      </c>
      <c r="C369" s="95" t="s">
        <v>790</v>
      </c>
      <c r="D369" t="str">
        <f>+_xlfn.XLOOKUP(B369,polaris!$B$2:$B$785,polaris!$D$2:$D$785)</f>
        <v>METEOROLÓGICA</v>
      </c>
      <c r="E369"/>
      <c r="F369" s="26">
        <v>56015040</v>
      </c>
      <c r="G369" s="26" t="str" cm="1">
        <f t="array" ref="G369">+_xlfn.XLOOKUP(C369,Hoja1!$E$2:$E$420,Tabla1[Nombre])</f>
        <v>JURADO - AUT  [56015040]</v>
      </c>
      <c r="H369" t="str">
        <f>+_xlfn.XLOOKUP(F369,Tabla1[Codigo],Tabla1[Nombre])</f>
        <v>JURADO - AUT  [56015040]</v>
      </c>
      <c r="I369" t="str">
        <f>+_xlfn.XLOOKUP(F369,Hoja5!$C$2:$C$420,Hoja5!$G$2:$G$420)</f>
        <v>OFFLINE MANUAL</v>
      </c>
      <c r="J369" t="str" cm="1">
        <f t="array" ref="J369">+_xlfn.XLOOKUP(F369,Hoja5!$C$2:$C$420,Hoja5!$H$2:H$420)</f>
        <v>PROC SUSPENSION</v>
      </c>
      <c r="L369" t="str">
        <f>+_xlfn.XLOOKUP(B369,polaris!$B$2:$B$785,polaris!$C$2:$C$785)</f>
        <v>JURADO [56015040;AO 01;PROCESO DE SUSPENSIÓN]</v>
      </c>
      <c r="M369" t="b">
        <f t="shared" si="5"/>
        <v>1</v>
      </c>
    </row>
    <row r="370" spans="1:69" x14ac:dyDescent="0.25">
      <c r="A370" s="9">
        <v>369</v>
      </c>
      <c r="B370" s="9">
        <v>1940</v>
      </c>
      <c r="C370" s="94" t="s">
        <v>35</v>
      </c>
      <c r="D370" t="str">
        <f>+_xlfn.XLOOKUP(B370,polaris!$B$2:$B$785,polaris!$D$2:$D$785)</f>
        <v>HIDROLÓGICA</v>
      </c>
      <c r="E370"/>
      <c r="F370" s="93">
        <v>13027040</v>
      </c>
      <c r="G370" s="26" t="e" cm="1">
        <f t="array" ref="G370">+_xlfn.XLOOKUP(C370,Hoja1!$E$2:$E$420,Tabla1[Nombre])</f>
        <v>#N/A</v>
      </c>
      <c r="H370" t="str">
        <f>+_xlfn.XLOOKUP(F370,Tabla1[Codigo],Tabla1[Nombre])</f>
        <v>CANO BARRO - AUT [13027040]</v>
      </c>
      <c r="I370" t="str">
        <f>+_xlfn.XLOOKUP(F370,Hoja5!$C$2:$C$420,Hoja5!$G$2:$G$420)</f>
        <v>EN LINEA</v>
      </c>
      <c r="J370" t="str" cm="1">
        <f t="array" ref="J370">+_xlfn.XLOOKUP(F370,Hoja5!$C$2:$C$420,Hoja5!$H$2:H$420)</f>
        <v>GOES</v>
      </c>
      <c r="L370" t="str">
        <f>+_xlfn.XLOOKUP(B370,polaris!$B$2:$B$785,polaris!$C$2:$C$785)</f>
        <v>CANO BARRO - AUT [13027040]</v>
      </c>
      <c r="M370" t="b">
        <f t="shared" si="5"/>
        <v>1</v>
      </c>
    </row>
    <row r="371" spans="1:69" x14ac:dyDescent="0.25">
      <c r="A371" s="9">
        <v>370</v>
      </c>
      <c r="B371" s="9">
        <v>1954</v>
      </c>
      <c r="C371" s="95" t="s">
        <v>791</v>
      </c>
      <c r="D371" t="str">
        <f>+_xlfn.XLOOKUP(B371,polaris!$B$2:$B$785,polaris!$D$2:$D$785)</f>
        <v>HIDROLÓGICA</v>
      </c>
      <c r="E371"/>
      <c r="F371" s="26">
        <v>21057130</v>
      </c>
      <c r="G371" s="26" t="str" cm="1">
        <f t="array" ref="G371">+_xlfn.XLOOKUP(C371,Hoja1!$E$2:$E$420,Tabla1[Nombre])</f>
        <v>RIO CHIQUITO [21057130]</v>
      </c>
      <c r="H371" t="str">
        <f>+_xlfn.XLOOKUP(F371,Tabla1[Codigo],Tabla1[Nombre])</f>
        <v>RIO CHIQUITO [21057130]</v>
      </c>
      <c r="I371" t="str">
        <f>+_xlfn.XLOOKUP(F371,Hoja5!$C$2:$C$420,Hoja5!$G$2:$G$420)</f>
        <v>OFFLINE MANUAL</v>
      </c>
      <c r="J371" t="str" cm="1">
        <f t="array" ref="J371">+_xlfn.XLOOKUP(F371,Hoja5!$C$2:$C$420,Hoja5!$H$2:H$420)</f>
        <v>ORDEN PÚBLICO</v>
      </c>
      <c r="L371" t="str">
        <f>+_xlfn.XLOOKUP(B371,polaris!$B$2:$B$785,polaris!$C$2:$C$785)</f>
        <v>RIO CHIQUITO [21057130; CAU; HID; LG; AO04; GOES: CB128186]</v>
      </c>
      <c r="M371" t="b">
        <f t="shared" si="5"/>
        <v>1</v>
      </c>
    </row>
    <row r="372" spans="1:69" x14ac:dyDescent="0.25">
      <c r="A372" s="9">
        <v>371</v>
      </c>
      <c r="B372" s="9">
        <v>2148</v>
      </c>
      <c r="C372" s="10" t="s">
        <v>792</v>
      </c>
      <c r="D372" t="str">
        <f>+_xlfn.XLOOKUP(B372,polaris!$B$2:$B$785,polaris!$D$2:$D$785)</f>
        <v>METEOROLÓGICA</v>
      </c>
      <c r="E372"/>
      <c r="F372" s="26">
        <v>1111500203</v>
      </c>
      <c r="G372" s="26" t="str" cm="1">
        <f t="array" ref="G372">+_xlfn.XLOOKUP(C372,Hoja1!$E$2:$E$420,Tabla1[Nombre])</f>
        <v>CAMPO ALEGRE [1111500203]</v>
      </c>
      <c r="H372" t="str">
        <f>+_xlfn.XLOOKUP(F372,Tabla1[Codigo],Tabla1[Nombre])</f>
        <v>CAMPO ALEGRE [1111500203]</v>
      </c>
      <c r="I372" t="str">
        <f>+_xlfn.XLOOKUP(F372,Hoja5!$C$2:$C$420,Hoja5!$G$2:$G$420)</f>
        <v>EN LINEA</v>
      </c>
      <c r="J372" t="str" cm="1">
        <f t="array" ref="J372">+_xlfn.XLOOKUP(F372,Hoja5!$C$2:$C$420,Hoja5!$H$2:H$420)</f>
        <v>GOES</v>
      </c>
      <c r="L372" t="str">
        <f>+_xlfn.XLOOKUP(B372,polaris!$B$2:$B$785,polaris!$C$2:$C$785)</f>
        <v>CAMPO ALEGRE [1111500203;AO 01;AUTOPISTAS AL MAR 2]</v>
      </c>
      <c r="M372" t="b">
        <f t="shared" si="5"/>
        <v>1</v>
      </c>
    </row>
    <row r="373" spans="1:69" s="16" customFormat="1" x14ac:dyDescent="0.25">
      <c r="A373" s="9">
        <v>372</v>
      </c>
      <c r="B373" s="13">
        <v>349</v>
      </c>
      <c r="C373" s="14" t="s">
        <v>794</v>
      </c>
      <c r="D373" t="str">
        <f>+_xlfn.XLOOKUP(E373,polaris!$B$2:$B$785,polaris!$D$2:$D$785)</f>
        <v>METEOROLÓGICA</v>
      </c>
      <c r="E373">
        <v>2237</v>
      </c>
      <c r="F373" s="26">
        <v>1602500044</v>
      </c>
      <c r="G373" s="26" t="str" cm="1">
        <f t="array" ref="G373">+_xlfn.XLOOKUP(C373,Hoja1!$E$2:$E$420,Tabla1[Nombre])</f>
        <v>GRAMALOTE - AUT   [1602500044]</v>
      </c>
      <c r="H373" t="str">
        <f>+_xlfn.XLOOKUP(F373,Tabla1[Codigo],Tabla1[Nombre])</f>
        <v>GRAMALOTE - AUT   [1602500044]</v>
      </c>
      <c r="I373" t="str">
        <f>+_xlfn.XLOOKUP(F373,Hoja5!$C$2:$C$420,Hoja5!$G$2:$G$420)</f>
        <v>EN LINEA</v>
      </c>
      <c r="J373" t="str" cm="1">
        <f t="array" ref="J373">+_xlfn.XLOOKUP(F373,Hoja5!$C$2:$C$420,Hoja5!$H$2:H$420)</f>
        <v>GPRS</v>
      </c>
      <c r="K373"/>
      <c r="L373" s="20" t="str">
        <f>+_xlfn.XLOOKUP(E373,polaris!$B$2:$B$785,polaris!$C$2:$C$785)</f>
        <v>C_GRAMALOTE - AUT   [1602500044; AO 08; MET; GPRS; FONDO ADAPTACION]</v>
      </c>
      <c r="M373" t="b">
        <f t="shared" si="5"/>
        <v>1</v>
      </c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 x14ac:dyDescent="0.25">
      <c r="A374" s="9">
        <v>373</v>
      </c>
      <c r="B374" s="13">
        <v>8</v>
      </c>
      <c r="C374" s="14" t="s">
        <v>795</v>
      </c>
      <c r="D374" t="str">
        <f>+_xlfn.XLOOKUP(E374,polaris!$B$2:$B$785,polaris!$D$2:$D$785)</f>
        <v>METEOROLÓGICA</v>
      </c>
      <c r="E374">
        <v>2242</v>
      </c>
      <c r="F374" s="26">
        <v>23125140</v>
      </c>
      <c r="G374" s="26" t="str" cm="1">
        <f t="array" ref="G374">+_xlfn.XLOOKUP(C374,Hoja1!$E$2:$E$420,Tabla1[Nombre])</f>
        <v>AEROPUERTO FURATENA  - AUT [23125140]</v>
      </c>
      <c r="H374" t="str">
        <f>+_xlfn.XLOOKUP(F374,Tabla1[Codigo],Tabla1[Nombre])</f>
        <v>AEROPUERTO FURATENA  - AUT [23125140]</v>
      </c>
      <c r="I374" t="str">
        <f>+_xlfn.XLOOKUP(F374,Hoja5!$C$2:$C$420,Hoja5!$G$2:$G$420)</f>
        <v>EN LINEA</v>
      </c>
      <c r="J374" t="str" cm="1">
        <f t="array" ref="J374">+_xlfn.XLOOKUP(F374,Hoja5!$C$2:$C$420,Hoja5!$H$2:H$420)</f>
        <v>GPRS</v>
      </c>
      <c r="L374" s="20" t="str">
        <f>+_xlfn.XLOOKUP(E374,polaris!$B$2:$B$785,polaris!$C$2:$C$785)</f>
        <v>C_AEROPUERTO FURATENA  - AUT [23125140; AO06; MET; FONDO ADAPTACION]</v>
      </c>
      <c r="M374" t="b">
        <f t="shared" si="5"/>
        <v>1</v>
      </c>
    </row>
    <row r="375" spans="1:69" s="16" customFormat="1" x14ac:dyDescent="0.25">
      <c r="A375" s="9">
        <v>374</v>
      </c>
      <c r="B375" s="13">
        <v>48</v>
      </c>
      <c r="C375" s="14" t="s">
        <v>796</v>
      </c>
      <c r="D375" t="str">
        <f>+_xlfn.XLOOKUP(E375,polaris!$B$2:$B$785,polaris!$D$2:$D$785)</f>
        <v>METEOROLÓGICA</v>
      </c>
      <c r="E375">
        <v>2243</v>
      </c>
      <c r="F375" s="26">
        <v>35075070</v>
      </c>
      <c r="G375" s="26" t="str" cm="1">
        <f t="array" ref="G375">+_xlfn.XLOOKUP(C375,Hoja1!$E$2:$E$420,Tabla1[Nombre])</f>
        <v>CHINAVITA - AUT [35075070]</v>
      </c>
      <c r="H375" t="str">
        <f>+_xlfn.XLOOKUP(F375,Tabla1[Codigo],Tabla1[Nombre])</f>
        <v>CHINAVITA - AUT [35075070]</v>
      </c>
      <c r="I375" t="str">
        <f>+_xlfn.XLOOKUP(F375,Hoja5!$C$2:$C$420,Hoja5!$G$2:$G$420)</f>
        <v>EN LINEA</v>
      </c>
      <c r="J375" t="str" cm="1">
        <f t="array" ref="J375">+_xlfn.XLOOKUP(F375,Hoja5!$C$2:$C$420,Hoja5!$H$2:H$420)</f>
        <v>GPRS</v>
      </c>
      <c r="K375"/>
      <c r="L375" s="20" t="str">
        <f>+_xlfn.XLOOKUP(E375,polaris!$B$2:$B$785,polaris!$C$2:$C$785)</f>
        <v>C_CHINAVITA - AUT [35075070; AO 06; MET; GPRS;  FONDO ADAPTACION]</v>
      </c>
      <c r="M375" t="b">
        <f t="shared" si="5"/>
        <v>1</v>
      </c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 x14ac:dyDescent="0.25">
      <c r="A376" s="9">
        <v>375</v>
      </c>
      <c r="B376" s="13">
        <v>115</v>
      </c>
      <c r="C376" s="14" t="s">
        <v>797</v>
      </c>
      <c r="D376" t="str">
        <f>+_xlfn.XLOOKUP(E376,polaris!$B$2:$B$785,polaris!$D$2:$D$785)</f>
        <v>METEOROLÓGICA</v>
      </c>
      <c r="E376">
        <v>2244</v>
      </c>
      <c r="F376" s="26">
        <v>21255170</v>
      </c>
      <c r="G376" s="26" t="str" cm="1">
        <f t="array" ref="G376">+_xlfn.XLOOKUP(C376,Hoja1!$E$2:$E$420,Tabla1[Nombre])</f>
        <v>MURILLO - AUT [21255170]</v>
      </c>
      <c r="H376" t="str">
        <f>+_xlfn.XLOOKUP(F376,Tabla1[Codigo],Tabla1[Nombre])</f>
        <v>MURILLO - AUT [21255170]</v>
      </c>
      <c r="I376" t="str">
        <f>+_xlfn.XLOOKUP(F376,Hoja5!$C$2:$C$420,Hoja5!$G$2:$G$420)</f>
        <v>EN LINEA</v>
      </c>
      <c r="J376" t="str" cm="1">
        <f t="array" ref="J376">+_xlfn.XLOOKUP(F376,Hoja5!$C$2:$C$420,Hoja5!$H$2:H$420)</f>
        <v>GPRS</v>
      </c>
      <c r="L376" s="20" t="str">
        <f>+_xlfn.XLOOKUP(E376,polaris!$B$2:$B$785,polaris!$C$2:$C$785)</f>
        <v>C_MURILLO - AUT [21255170; AO 10; MET; GPRS; FONDO ADAPTACION]</v>
      </c>
      <c r="M376" t="b">
        <f t="shared" si="5"/>
        <v>1</v>
      </c>
    </row>
    <row r="377" spans="1:69" x14ac:dyDescent="0.25">
      <c r="A377" s="9">
        <v>376</v>
      </c>
      <c r="B377" s="13">
        <v>137</v>
      </c>
      <c r="C377" s="14" t="s">
        <v>798</v>
      </c>
      <c r="D377" t="str">
        <f>+_xlfn.XLOOKUP(E377,polaris!$B$2:$B$785,polaris!$D$2:$D$785)</f>
        <v>METEOROLÓGICA</v>
      </c>
      <c r="E377">
        <v>2246</v>
      </c>
      <c r="F377" s="26">
        <v>44015070</v>
      </c>
      <c r="G377" s="26" t="str" cm="1">
        <f t="array" ref="G377">+_xlfn.XLOOKUP(C377,Hoja1!$E$2:$E$420,Tabla1[Nombre])</f>
        <v>EL PEPINO - AUT [44015070]</v>
      </c>
      <c r="H377" t="str">
        <f>+_xlfn.XLOOKUP(F377,Tabla1[Codigo],Tabla1[Nombre])</f>
        <v>EL PEPINO - AUT [44015070]</v>
      </c>
      <c r="I377" t="str">
        <f>+_xlfn.XLOOKUP(F377,Hoja5!$C$2:$C$420,Hoja5!$G$2:$G$420)</f>
        <v>EN LINEA</v>
      </c>
      <c r="J377" t="str" cm="1">
        <f t="array" ref="J377">+_xlfn.XLOOKUP(F377,Hoja5!$C$2:$C$420,Hoja5!$H$2:H$420)</f>
        <v>GPRS</v>
      </c>
      <c r="L377" s="20" t="str">
        <f>+_xlfn.XLOOKUP(E377,polaris!$B$2:$B$785,polaris!$C$2:$C$785)</f>
        <v>C_EL PEPINO - AUT [44015070;AO 07;FONDO ADAPTACION]</v>
      </c>
      <c r="M377" t="b">
        <f t="shared" si="5"/>
        <v>1</v>
      </c>
    </row>
    <row r="378" spans="1:69" x14ac:dyDescent="0.25">
      <c r="A378" s="9">
        <v>377</v>
      </c>
      <c r="B378" s="13">
        <v>138</v>
      </c>
      <c r="C378" s="14" t="s">
        <v>799</v>
      </c>
      <c r="D378" t="str">
        <f>+_xlfn.XLOOKUP(E378,polaris!$B$2:$B$785,polaris!$D$2:$D$785)</f>
        <v>METEOROLÓGICA</v>
      </c>
      <c r="E378">
        <v>2247</v>
      </c>
      <c r="F378" s="26">
        <v>55015010</v>
      </c>
      <c r="G378" s="26" t="str" cm="1">
        <f t="array" ref="G378">+_xlfn.XLOOKUP(C378,Hoja1!$E$2:$E$420,Tabla1[Nombre])</f>
        <v>PIE DE PATO - AUT [55015010]</v>
      </c>
      <c r="H378" t="str">
        <f>+_xlfn.XLOOKUP(F378,Tabla1[Codigo],Tabla1[Nombre])</f>
        <v>PIE DE PATO - AUT [55015010]</v>
      </c>
      <c r="I378" t="str">
        <f>+_xlfn.XLOOKUP(F378,Hoja5!$C$2:$C$420,Hoja5!$G$2:$G$420)</f>
        <v>DESCONECTADO</v>
      </c>
      <c r="J378" t="str" cm="1">
        <f t="array" ref="J378">+_xlfn.XLOOKUP(F378,Hoja5!$C$2:$C$420,Hoja5!$H$2:H$420)</f>
        <v>GPRS</v>
      </c>
      <c r="L378" s="20" t="str">
        <f>+_xlfn.XLOOKUP(E378,polaris!$B$2:$B$785,polaris!$C$2:$C$785)</f>
        <v>C_PIE DE PATO - AUT [55015010; AO 09; MET; GPRS; FONDO ADAPTACION]</v>
      </c>
      <c r="M378" t="b">
        <f t="shared" si="5"/>
        <v>1</v>
      </c>
    </row>
    <row r="379" spans="1:69" x14ac:dyDescent="0.25">
      <c r="A379" s="9">
        <v>378</v>
      </c>
      <c r="B379" s="13">
        <v>171</v>
      </c>
      <c r="C379" s="14" t="s">
        <v>800</v>
      </c>
      <c r="D379" t="str">
        <f>+_xlfn.XLOOKUP(E379,polaris!$B$2:$B$785,polaris!$D$2:$D$785)</f>
        <v>HIDROLÓGICA</v>
      </c>
      <c r="E379">
        <v>2248</v>
      </c>
      <c r="F379" s="26">
        <v>11047020</v>
      </c>
      <c r="G379" s="26" t="str" cm="1">
        <f t="array" ref="G379">+_xlfn.XLOOKUP(C379,Hoja1!$E$2:$E$420,Tabla1[Nombre])</f>
        <v>QUIBDO - AUT [11047020]</v>
      </c>
      <c r="H379" t="str">
        <f>+_xlfn.XLOOKUP(F379,Tabla1[Codigo],Tabla1[Nombre])</f>
        <v>QUIBDO - AUT [11047020]</v>
      </c>
      <c r="I379" t="str">
        <f>+_xlfn.XLOOKUP(F379,Hoja5!$C$2:$C$420,Hoja5!$G$2:$G$420)</f>
        <v>DESCONECTADO</v>
      </c>
      <c r="J379" t="str" cm="1">
        <f t="array" ref="J379">+_xlfn.XLOOKUP(F379,Hoja5!$C$2:$C$420,Hoja5!$H$2:H$420)</f>
        <v>GPRS</v>
      </c>
      <c r="L379" s="20" t="str">
        <f>+_xlfn.XLOOKUP(E379,polaris!$B$2:$B$785,polaris!$C$2:$C$785)</f>
        <v>C_QUIBDO [11047020; AO 01;FONDO ADAPTACION]</v>
      </c>
      <c r="M379" t="b">
        <f t="shared" si="5"/>
        <v>1</v>
      </c>
    </row>
    <row r="380" spans="1:69" x14ac:dyDescent="0.25">
      <c r="A380" s="9">
        <v>379</v>
      </c>
      <c r="B380" s="13">
        <v>178</v>
      </c>
      <c r="C380" s="14" t="s">
        <v>801</v>
      </c>
      <c r="D380" t="str">
        <f>+_xlfn.XLOOKUP(E380,polaris!$B$2:$B$785,polaris!$D$2:$D$785)</f>
        <v>METEOROLÓGICA</v>
      </c>
      <c r="E380">
        <v>2249</v>
      </c>
      <c r="F380" s="26">
        <v>35035110</v>
      </c>
      <c r="G380" s="26" t="str" cm="1">
        <f t="array" ref="G380">+_xlfn.XLOOKUP(C380,Hoja1!$E$2:$E$420,Tabla1[Nombre])</f>
        <v>SALINAS DE UPIN  - AUT [35035110]</v>
      </c>
      <c r="H380" t="str">
        <f>+_xlfn.XLOOKUP(F380,Tabla1[Codigo],Tabla1[Nombre])</f>
        <v>SALINAS DE UPIN  - AUT [35035110]</v>
      </c>
      <c r="I380" t="str">
        <f>+_xlfn.XLOOKUP(F380,Hoja5!$C$2:$C$420,Hoja5!$G$2:$G$420)</f>
        <v>EN LINEA</v>
      </c>
      <c r="J380" t="str" cm="1">
        <f t="array" ref="J380">+_xlfn.XLOOKUP(F380,Hoja5!$C$2:$C$420,Hoja5!$H$2:H$420)</f>
        <v>GPRS</v>
      </c>
      <c r="L380" s="20" t="str">
        <f>+_xlfn.XLOOKUP(E380,polaris!$B$2:$B$785,polaris!$C$2:$C$785)</f>
        <v>C_SALINAS DE UPIN - AUT [35035110;AO 03;FONDO ADAPTACION]</v>
      </c>
      <c r="M380" t="b">
        <f t="shared" si="5"/>
        <v>1</v>
      </c>
    </row>
    <row r="381" spans="1:69" x14ac:dyDescent="0.25">
      <c r="A381" s="9">
        <v>380</v>
      </c>
      <c r="B381" s="13">
        <v>200</v>
      </c>
      <c r="C381" s="14" t="s">
        <v>802</v>
      </c>
      <c r="D381" t="str">
        <f>+_xlfn.XLOOKUP(E381,polaris!$B$2:$B$785,polaris!$D$2:$D$785)</f>
        <v>METEOROLÓGICA</v>
      </c>
      <c r="E381">
        <v>2250</v>
      </c>
      <c r="F381" s="26">
        <v>24035360</v>
      </c>
      <c r="G381" s="26" t="str" cm="1">
        <f t="array" ref="G381">+_xlfn.XLOOKUP(C381,Hoja1!$E$2:$E$420,Tabla1[Nombre])</f>
        <v>SOCHA - AUT [24035360]</v>
      </c>
      <c r="H381" t="str">
        <f>+_xlfn.XLOOKUP(F381,Tabla1[Codigo],Tabla1[Nombre])</f>
        <v>SOCHA - AUT [24035360]</v>
      </c>
      <c r="I381" t="str">
        <f>+_xlfn.XLOOKUP(F381,Hoja5!$C$2:$C$420,Hoja5!$G$2:$G$420)</f>
        <v>EN LINEA</v>
      </c>
      <c r="J381" t="str" cm="1">
        <f t="array" ref="J381">+_xlfn.XLOOKUP(F381,Hoja5!$C$2:$C$420,Hoja5!$H$2:H$420)</f>
        <v>GPRS</v>
      </c>
      <c r="L381" s="20" t="str">
        <f>+_xlfn.XLOOKUP(E381,polaris!$B$2:$B$785,polaris!$C$2:$C$785)</f>
        <v>C_SOCHA - AUT [24035360;AO 06; MET; GPRS; FONDO ADAPTACION]</v>
      </c>
      <c r="M381" t="b">
        <f t="shared" si="5"/>
        <v>1</v>
      </c>
    </row>
    <row r="382" spans="1:69" x14ac:dyDescent="0.25">
      <c r="A382" s="9">
        <v>381</v>
      </c>
      <c r="B382" s="13">
        <v>234</v>
      </c>
      <c r="C382" s="14" t="s">
        <v>803</v>
      </c>
      <c r="D382" t="str">
        <f>+_xlfn.XLOOKUP(E382,polaris!$B$2:$B$785,polaris!$D$2:$D$785)</f>
        <v>METEOROLÓGICA</v>
      </c>
      <c r="E382">
        <v>2251</v>
      </c>
      <c r="F382" s="26">
        <v>52035040</v>
      </c>
      <c r="G382" s="26" t="str" cm="1">
        <f t="array" ref="G382">+_xlfn.XLOOKUP(C382,Hoja1!$E$2:$E$420,Tabla1[Nombre])</f>
        <v>VIENTO LIBRE - AUT [52035040]</v>
      </c>
      <c r="H382" t="str">
        <f>+_xlfn.XLOOKUP(F382,Tabla1[Codigo],Tabla1[Nombre])</f>
        <v>VIENTO LIBRE - AUT [52035040]</v>
      </c>
      <c r="I382" t="str">
        <f>+_xlfn.XLOOKUP(F382,Hoja5!$C$2:$C$420,Hoja5!$G$2:$G$420)</f>
        <v>EN LINEA</v>
      </c>
      <c r="J382" t="str" cm="1">
        <f t="array" ref="J382">+_xlfn.XLOOKUP(F382,Hoja5!$C$2:$C$420,Hoja5!$H$2:H$420)</f>
        <v>GPRS</v>
      </c>
      <c r="L382" s="20" t="str">
        <f>+_xlfn.XLOOKUP(E382,polaris!$B$2:$B$785,polaris!$C$2:$C$785)</f>
        <v>C_VIENTO LIBRE - AUT [52035040;AO 07;FONDO ADAPTACION]</v>
      </c>
      <c r="M382" t="b">
        <f t="shared" si="5"/>
        <v>1</v>
      </c>
    </row>
    <row r="383" spans="1:69" x14ac:dyDescent="0.25">
      <c r="A383" s="9">
        <v>382</v>
      </c>
      <c r="B383" s="13">
        <v>92</v>
      </c>
      <c r="C383" s="14" t="s">
        <v>804</v>
      </c>
      <c r="D383" t="str">
        <f>+_xlfn.XLOOKUP(E383,polaris!$B$2:$B$785,polaris!$D$2:$D$785)</f>
        <v>METEOROLÓGICA</v>
      </c>
      <c r="E383">
        <v>2252</v>
      </c>
      <c r="F383" s="26">
        <v>52055170</v>
      </c>
      <c r="G383" s="26" t="str" cm="1">
        <f t="array" ref="G383">+_xlfn.XLOOKUP(C383,Hoja1!$E$2:$E$420,Tabla1[Nombre])</f>
        <v>LA JOSEFINA - AUT [52055170]</v>
      </c>
      <c r="H383" t="str">
        <f>+_xlfn.XLOOKUP(F383,Tabla1[Codigo],Tabla1[Nombre])</f>
        <v>LA JOSEFINA - AUT [52055170]</v>
      </c>
      <c r="I383" t="str">
        <f>+_xlfn.XLOOKUP(F383,Hoja5!$C$2:$C$420,Hoja5!$G$2:$G$420)</f>
        <v>EN LINEA</v>
      </c>
      <c r="J383" t="str" cm="1">
        <f t="array" ref="J383">+_xlfn.XLOOKUP(F383,Hoja5!$C$2:$C$420,Hoja5!$H$2:H$420)</f>
        <v>GPRS</v>
      </c>
      <c r="L383" s="20" t="str">
        <f>+_xlfn.XLOOKUP(E383,polaris!$B$2:$B$785,polaris!$C$2:$C$785)</f>
        <v>C_LA JOSEFINA - AUT [52055170; AO 07;FONDO ADAPTACIÓN]</v>
      </c>
      <c r="M383" t="b">
        <f t="shared" si="5"/>
        <v>1</v>
      </c>
    </row>
    <row r="384" spans="1:69" x14ac:dyDescent="0.25">
      <c r="A384" s="9">
        <v>383</v>
      </c>
      <c r="B384" s="13">
        <v>201</v>
      </c>
      <c r="C384" s="14" t="s">
        <v>805</v>
      </c>
      <c r="D384" t="str">
        <f>+_xlfn.XLOOKUP(E384,polaris!$B$2:$B$785,polaris!$D$2:$D$785)</f>
        <v>METEOROLÓGICA</v>
      </c>
      <c r="E384">
        <v>2253</v>
      </c>
      <c r="F384" s="26">
        <v>24035410</v>
      </c>
      <c r="G384" s="26" t="str" cm="1">
        <f t="array" ref="G384">+_xlfn.XLOOKUP(C384,Hoja1!$E$2:$E$420,Tabla1[Nombre])</f>
        <v>SOGAMOSO - AUT [24035410]</v>
      </c>
      <c r="H384" t="str">
        <f>+_xlfn.XLOOKUP(F384,Tabla1[Codigo],Tabla1[Nombre])</f>
        <v>SOGAMOSO - AUT [24035410]</v>
      </c>
      <c r="I384" t="str">
        <f>+_xlfn.XLOOKUP(F384,Hoja5!$C$2:$C$420,Hoja5!$G$2:$G$420)</f>
        <v>EN LINEA</v>
      </c>
      <c r="J384" t="str" cm="1">
        <f t="array" ref="J384">+_xlfn.XLOOKUP(F384,Hoja5!$C$2:$C$420,Hoja5!$H$2:H$420)</f>
        <v>GPRS</v>
      </c>
      <c r="L384" s="20" t="str">
        <f>+_xlfn.XLOOKUP(E384,polaris!$B$2:$B$785,polaris!$C$2:$C$785)</f>
        <v>C_SOGAMOSO - AUT [24035410;  AO 06; MET; GPRS; FONDO ADAPTACION]</v>
      </c>
      <c r="M384" t="b">
        <f t="shared" si="5"/>
        <v>1</v>
      </c>
    </row>
    <row r="385" spans="1:13" x14ac:dyDescent="0.25">
      <c r="A385" s="9">
        <v>384</v>
      </c>
      <c r="B385" s="13">
        <v>206</v>
      </c>
      <c r="C385" s="14" t="s">
        <v>806</v>
      </c>
      <c r="D385" t="str">
        <f>+_xlfn.XLOOKUP(E385,polaris!$B$2:$B$785,polaris!$D$2:$D$785)</f>
        <v>METEOROLÓGICA</v>
      </c>
      <c r="E385">
        <v>2254</v>
      </c>
      <c r="F385" s="26">
        <v>26255030</v>
      </c>
      <c r="G385" s="26" t="str" cm="1">
        <f t="array" ref="G385">+_xlfn.XLOOKUP(C385,Hoja1!$E$2:$E$420,Tabla1[Nombre])</f>
        <v>SANTA ISABEL VALDIVIA - AUT [26255030]</v>
      </c>
      <c r="H385" t="str">
        <f>+_xlfn.XLOOKUP(F385,Tabla1[Codigo],Tabla1[Nombre])</f>
        <v>SANTA ISABEL VALDIVIA - AUT [26255030]</v>
      </c>
      <c r="I385" t="str">
        <f>+_xlfn.XLOOKUP(F385,Hoja5!$C$2:$C$420,Hoja5!$G$2:$G$420)</f>
        <v>EN LINEA</v>
      </c>
      <c r="J385" t="str" cm="1">
        <f t="array" ref="J385">+_xlfn.XLOOKUP(F385,Hoja5!$C$2:$C$420,Hoja5!$H$2:H$420)</f>
        <v>GPRS</v>
      </c>
      <c r="L385" s="20" t="str">
        <f>+_xlfn.XLOOKUP(E385,polaris!$B$2:$B$785,polaris!$C$2:$C$785)</f>
        <v>C_SANTA ISABEL VALDIVIA [26255030;AO 01;FONDO ADAPTACION]</v>
      </c>
      <c r="M385" t="b">
        <f t="shared" si="5"/>
        <v>1</v>
      </c>
    </row>
    <row r="386" spans="1:13" x14ac:dyDescent="0.25">
      <c r="A386" s="9">
        <v>385</v>
      </c>
      <c r="B386" s="13">
        <v>244</v>
      </c>
      <c r="C386" s="14" t="s">
        <v>807</v>
      </c>
      <c r="D386" t="str">
        <f>+_xlfn.XLOOKUP(E386,polaris!$B$2:$B$785,polaris!$D$2:$D$785)</f>
        <v>METEOROLÓGICA</v>
      </c>
      <c r="E386">
        <v>2256</v>
      </c>
      <c r="F386" s="26">
        <v>52055160</v>
      </c>
      <c r="G386" s="26" t="str" cm="1">
        <f t="array" ref="G386">+_xlfn.XLOOKUP(C386,Hoja1!$E$2:$E$420,Tabla1[Nombre])</f>
        <v>VOLCAN CHILES  - AUT [52055160]</v>
      </c>
      <c r="H386" t="str">
        <f>+_xlfn.XLOOKUP(F386,Tabla1[Codigo],Tabla1[Nombre])</f>
        <v>VOLCAN CHILES  - AUT [52055160]</v>
      </c>
      <c r="I386" t="str">
        <f>+_xlfn.XLOOKUP(F386,Hoja5!$C$2:$C$420,Hoja5!$G$2:$G$420)</f>
        <v>EN LINEA</v>
      </c>
      <c r="J386" t="str" cm="1">
        <f t="array" ref="J386">+_xlfn.XLOOKUP(F386,Hoja5!$C$2:$C$420,Hoja5!$H$2:H$420)</f>
        <v>GPRS</v>
      </c>
      <c r="L386" s="20" t="str">
        <f>+_xlfn.XLOOKUP(E386,polaris!$B$2:$B$785,polaris!$C$2:$C$785)</f>
        <v>C_VOLCAN CHILES  - AUT [52055160; AO07; FONDO ADAPTACION]</v>
      </c>
      <c r="M386" t="b">
        <f t="shared" si="5"/>
        <v>1</v>
      </c>
    </row>
    <row r="387" spans="1:13" x14ac:dyDescent="0.25">
      <c r="A387" s="9">
        <v>386</v>
      </c>
      <c r="B387" s="13">
        <v>273</v>
      </c>
      <c r="C387" s="14" t="s">
        <v>808</v>
      </c>
      <c r="D387" t="str">
        <f>+_xlfn.XLOOKUP(E387,polaris!$B$2:$B$785,polaris!$D$2:$D$785)</f>
        <v>HIDROLÓGICA</v>
      </c>
      <c r="E387">
        <v>2257</v>
      </c>
      <c r="F387" s="26">
        <v>44017120</v>
      </c>
      <c r="G387" s="26" t="str" cm="1">
        <f t="array" ref="G387">+_xlfn.XLOOKUP(C387,Hoja1!$E$2:$E$420,Tabla1[Nombre])</f>
        <v>PIEDRA LISA II  - AUT [44017120]</v>
      </c>
      <c r="H387" t="str">
        <f>+_xlfn.XLOOKUP(F387,Tabla1[Codigo],Tabla1[Nombre])</f>
        <v>PIEDRA LISA II  - AUT [44017120]</v>
      </c>
      <c r="I387" t="str">
        <f>+_xlfn.XLOOKUP(F387,Hoja5!$C$2:$C$420,Hoja5!$G$2:$G$420)</f>
        <v>EN LINEA</v>
      </c>
      <c r="J387" t="str" cm="1">
        <f t="array" ref="J387">+_xlfn.XLOOKUP(F387,Hoja5!$C$2:$C$420,Hoja5!$H$2:H$420)</f>
        <v>GPRS</v>
      </c>
      <c r="L387" s="20" t="str">
        <f>+_xlfn.XLOOKUP(E387,polaris!$B$2:$B$785,polaris!$C$2:$C$785)</f>
        <v>C_PIEDRA LISA II  - AUT [44017120; AO 07; FONDO ADAPTACION]</v>
      </c>
      <c r="M387" t="b">
        <f t="shared" ref="M387:M420" si="6">+L387=C387</f>
        <v>1</v>
      </c>
    </row>
    <row r="388" spans="1:13" x14ac:dyDescent="0.25">
      <c r="A388" s="9">
        <v>387</v>
      </c>
      <c r="B388" s="13">
        <v>276</v>
      </c>
      <c r="C388" s="14" t="s">
        <v>809</v>
      </c>
      <c r="D388" t="str">
        <f>+_xlfn.XLOOKUP(E388,polaris!$B$2:$B$785,polaris!$D$2:$D$785)</f>
        <v>METEOROLÓGICA</v>
      </c>
      <c r="E388">
        <v>2258</v>
      </c>
      <c r="F388" s="26">
        <v>25020140</v>
      </c>
      <c r="G388" s="26" t="str" cm="1">
        <f t="array" ref="G388">+_xlfn.XLOOKUP(C388,Hoja1!$E$2:$E$420,Tabla1[Nombre])</f>
        <v>SAHAGUN [25020140]</v>
      </c>
      <c r="H388" t="str">
        <f>+_xlfn.XLOOKUP(F388,Tabla1[Codigo],Tabla1[Nombre])</f>
        <v>SAHAGUN [25020140]</v>
      </c>
      <c r="I388" t="str">
        <f>+_xlfn.XLOOKUP(F388,Hoja5!$C$2:$C$420,Hoja5!$G$2:$G$420)</f>
        <v>EN LINEA</v>
      </c>
      <c r="J388" t="str" cm="1">
        <f t="array" ref="J388">+_xlfn.XLOOKUP(F388,Hoja5!$C$2:$C$420,Hoja5!$H$2:H$420)</f>
        <v>GPRS</v>
      </c>
      <c r="L388" s="20" t="str">
        <f>+_xlfn.XLOOKUP(E388,polaris!$B$2:$B$785,polaris!$C$2:$C$785)</f>
        <v>C_SAHAGUN  [25020140; AO 02;FONDO ADAPTACION]</v>
      </c>
      <c r="M388" t="b">
        <f t="shared" si="6"/>
        <v>1</v>
      </c>
    </row>
    <row r="389" spans="1:13" x14ac:dyDescent="0.25">
      <c r="A389" s="9">
        <v>388</v>
      </c>
      <c r="B389" s="13">
        <v>286</v>
      </c>
      <c r="C389" s="14" t="s">
        <v>810</v>
      </c>
      <c r="D389" t="str">
        <f>+_xlfn.XLOOKUP(E389,polaris!$B$2:$B$785,polaris!$D$2:$D$785)</f>
        <v>HIDROLÓGICA</v>
      </c>
      <c r="E389">
        <v>2259</v>
      </c>
      <c r="F389" s="26">
        <v>23087150</v>
      </c>
      <c r="G389" s="26" t="str" cm="1">
        <f t="array" ref="G389">+_xlfn.XLOOKUP(C389,Hoja1!$E$2:$E$420,Tabla1[Nombre])</f>
        <v>PUENTE REAL  - AUT [23087150]</v>
      </c>
      <c r="H389" t="str">
        <f>+_xlfn.XLOOKUP(F389,Tabla1[Codigo],Tabla1[Nombre])</f>
        <v>PUENTE REAL  - AUT [23087150]</v>
      </c>
      <c r="I389" t="str">
        <f>+_xlfn.XLOOKUP(F389,Hoja5!$C$2:$C$420,Hoja5!$G$2:$G$420)</f>
        <v>EN LINEA</v>
      </c>
      <c r="J389" t="str" cm="1">
        <f t="array" ref="J389">+_xlfn.XLOOKUP(F389,Hoja5!$C$2:$C$420,Hoja5!$H$2:H$420)</f>
        <v>GPRS</v>
      </c>
      <c r="L389" s="20" t="str">
        <f>+_xlfn.XLOOKUP(E389,polaris!$B$2:$B$785,polaris!$C$2:$C$785)</f>
        <v>C_PUENTE REAL [23087150;AO 01;FONDO ADAPTACION]</v>
      </c>
      <c r="M389" t="b">
        <f t="shared" si="6"/>
        <v>0</v>
      </c>
    </row>
    <row r="390" spans="1:13" x14ac:dyDescent="0.25">
      <c r="A390" s="9">
        <v>389</v>
      </c>
      <c r="B390" s="13">
        <v>341</v>
      </c>
      <c r="C390" s="14" t="s">
        <v>811</v>
      </c>
      <c r="D390" t="str">
        <f>+_xlfn.XLOOKUP(E390,polaris!$B$2:$B$785,polaris!$D$2:$D$785)</f>
        <v>METEOROLÓGICA</v>
      </c>
      <c r="E390">
        <v>2260</v>
      </c>
      <c r="F390" s="26">
        <v>51035020</v>
      </c>
      <c r="G390" s="26" t="str" cm="1">
        <f t="array" ref="G390">+_xlfn.XLOOKUP(C390,Hoja1!$E$2:$E$420,Tabla1[Nombre])</f>
        <v>CCCP DL PACIFICO [51035020]</v>
      </c>
      <c r="H390" t="str">
        <f>+_xlfn.XLOOKUP(F390,Tabla1[Codigo],Tabla1[Nombre])</f>
        <v>CCCP DL PACIFICO [51035020]</v>
      </c>
      <c r="I390" t="str">
        <f>+_xlfn.XLOOKUP(F390,Hoja5!$C$2:$C$420,Hoja5!$G$2:$G$420)</f>
        <v>EN LINEA</v>
      </c>
      <c r="J390" t="str" cm="1">
        <f t="array" ref="J390">+_xlfn.XLOOKUP(F390,Hoja5!$C$2:$C$420,Hoja5!$H$2:H$420)</f>
        <v>GPRS</v>
      </c>
      <c r="L390" s="20" t="str">
        <f>+_xlfn.XLOOKUP(E390,polaris!$B$2:$B$785,polaris!$C$2:$C$785)</f>
        <v>C_CCCP DL PACIFICO [51035020; AO 07; MET; FONDO ADAPTACION]</v>
      </c>
      <c r="M390" t="b">
        <f t="shared" si="6"/>
        <v>1</v>
      </c>
    </row>
    <row r="391" spans="1:13" x14ac:dyDescent="0.25">
      <c r="A391" s="9">
        <v>390</v>
      </c>
      <c r="B391" s="13">
        <v>402</v>
      </c>
      <c r="C391" s="14" t="s">
        <v>812</v>
      </c>
      <c r="D391" t="str">
        <f>+_xlfn.XLOOKUP(E391,polaris!$B$2:$B$785,polaris!$D$2:$D$785)</f>
        <v>HIDROLÓGICA</v>
      </c>
      <c r="E391">
        <v>2261</v>
      </c>
      <c r="F391" s="26">
        <v>51039010</v>
      </c>
      <c r="G391" s="26" t="str" cm="1">
        <f t="array" ref="G391">+_xlfn.XLOOKUP(C391,Hoja1!$E$2:$E$420,Tabla1[Nombre])</f>
        <v>TUMACO - AUT [51039010]</v>
      </c>
      <c r="H391" t="str">
        <f>+_xlfn.XLOOKUP(F391,Tabla1[Codigo],Tabla1[Nombre])</f>
        <v>TUMACO - AUT [51039010]</v>
      </c>
      <c r="I391" t="str">
        <f>+_xlfn.XLOOKUP(F391,Hoja5!$C$2:$C$420,Hoja5!$G$2:$G$420)</f>
        <v>DESCONECTADO</v>
      </c>
      <c r="J391" t="str" cm="1">
        <f t="array" ref="J391">+_xlfn.XLOOKUP(F391,Hoja5!$C$2:$C$420,Hoja5!$H$2:H$420)</f>
        <v>GPRS</v>
      </c>
      <c r="L391" s="20" t="str">
        <f>+_xlfn.XLOOKUP(E391,polaris!$B$2:$B$785,polaris!$C$2:$C$785)</f>
        <v>C_TUMACO - AUT [51039010; AO 07; FONDO ADAPTACION]</v>
      </c>
      <c r="M391" t="b">
        <f t="shared" si="6"/>
        <v>1</v>
      </c>
    </row>
    <row r="392" spans="1:13" x14ac:dyDescent="0.25">
      <c r="A392" s="9">
        <v>391</v>
      </c>
      <c r="B392" s="13">
        <v>407</v>
      </c>
      <c r="C392" s="14" t="s">
        <v>813</v>
      </c>
      <c r="D392" t="str">
        <f>+_xlfn.XLOOKUP(E392,polaris!$B$2:$B$785,polaris!$D$2:$D$785)</f>
        <v>HIDROLÓGICA</v>
      </c>
      <c r="E392">
        <v>2262</v>
      </c>
      <c r="F392" s="26">
        <v>2629700151</v>
      </c>
      <c r="G392" s="26" t="str" cm="1">
        <f t="array" ref="G392">+_xlfn.XLOOKUP(C392,Hoja1!$E$2:$E$420,Tabla1[Nombre])</f>
        <v>LA VORAGINE - AUT   [2629700151]</v>
      </c>
      <c r="H392" t="str">
        <f>+_xlfn.XLOOKUP(F392,Tabla1[Codigo],Tabla1[Nombre])</f>
        <v>LA VORAGINE - AUT   [2629700151]</v>
      </c>
      <c r="I392" t="str">
        <f>+_xlfn.XLOOKUP(F392,Hoja5!$C$2:$C$420,Hoja5!$G$2:$G$420)</f>
        <v>EN LINEA</v>
      </c>
      <c r="J392" t="str" cm="1">
        <f t="array" ref="J392">+_xlfn.XLOOKUP(F392,Hoja5!$C$2:$C$420,Hoja5!$H$2:H$420)</f>
        <v>GPRS</v>
      </c>
      <c r="L392" s="20" t="str">
        <f>+_xlfn.XLOOKUP(E392,polaris!$B$2:$B$785,polaris!$C$2:$C$785)</f>
        <v>C_LA VORAGINE - AUT   [2629700151; AO 09; HID; GPRS; FONDO ADAPTACION]</v>
      </c>
      <c r="M392" t="b">
        <f t="shared" si="6"/>
        <v>1</v>
      </c>
    </row>
    <row r="393" spans="1:13" x14ac:dyDescent="0.25">
      <c r="A393" s="9">
        <v>392</v>
      </c>
      <c r="B393" s="13">
        <v>443</v>
      </c>
      <c r="C393" s="14" t="s">
        <v>814</v>
      </c>
      <c r="D393" t="str">
        <f>+_xlfn.XLOOKUP(E393,polaris!$B$2:$B$785,polaris!$D$2:$D$785)</f>
        <v>HIDROLÓGICA</v>
      </c>
      <c r="E393">
        <v>2263</v>
      </c>
      <c r="F393" s="26">
        <v>23067040</v>
      </c>
      <c r="G393" s="26" t="str" cm="1">
        <f t="array" ref="G393">+_xlfn.XLOOKUP(C393,Hoja1!$E$2:$E$420,Tabla1[Nombre])</f>
        <v>PUERTO LIBRE  - AUT [23067040]</v>
      </c>
      <c r="H393" t="str">
        <f>+_xlfn.XLOOKUP(F393,Tabla1[Codigo],Tabla1[Nombre])</f>
        <v>PUERTO LIBRE  - AUT [23067040]</v>
      </c>
      <c r="I393" t="str">
        <f>+_xlfn.XLOOKUP(F393,Hoja5!$C$2:$C$420,Hoja5!$G$2:$G$420)</f>
        <v>EN LINEA</v>
      </c>
      <c r="J393" t="str" cm="1">
        <f t="array" ref="J393">+_xlfn.XLOOKUP(F393,Hoja5!$C$2:$C$420,Hoja5!$H$2:H$420)</f>
        <v>GPRS</v>
      </c>
      <c r="L393" s="20" t="str">
        <f>+_xlfn.XLOOKUP(E393,polaris!$B$2:$B$785,polaris!$C$2:$C$785)</f>
        <v>C_PUERTO LIBRE  - AUT [23067040; AO 10; HID; GPRS; FONDO ADAPTACION]</v>
      </c>
      <c r="M393" t="b">
        <f t="shared" si="6"/>
        <v>1</v>
      </c>
    </row>
    <row r="394" spans="1:13" x14ac:dyDescent="0.25">
      <c r="A394" s="9">
        <v>393</v>
      </c>
      <c r="B394" s="13">
        <v>426</v>
      </c>
      <c r="C394" s="14" t="s">
        <v>815</v>
      </c>
      <c r="D394" t="str">
        <f>+_xlfn.XLOOKUP(E394,polaris!$B$2:$B$785,polaris!$D$2:$D$785)</f>
        <v>HIDROLÓGICA</v>
      </c>
      <c r="E394">
        <v>2316</v>
      </c>
      <c r="F394" s="26">
        <v>24017740</v>
      </c>
      <c r="G394" s="26" t="str" cm="1">
        <f t="array" ref="G394">+_xlfn.XLOOKUP(C394,Hoja1!$E$2:$E$420,Tabla1[Nombre])</f>
        <v>PUENTE CHACON  - AUT [24017740]</v>
      </c>
      <c r="H394" t="str">
        <f>+_xlfn.XLOOKUP(F394,Tabla1[Codigo],Tabla1[Nombre])</f>
        <v>PUENTE CHACON  - AUT [24017740]</v>
      </c>
      <c r="I394" t="str">
        <f>+_xlfn.XLOOKUP(F394,Hoja5!$C$2:$C$420,Hoja5!$G$2:$G$420)</f>
        <v>EN LINEA</v>
      </c>
      <c r="J394" t="str" cm="1">
        <f t="array" ref="J394">+_xlfn.XLOOKUP(F394,Hoja5!$C$2:$C$420,Hoja5!$H$2:H$420)</f>
        <v>GOES</v>
      </c>
      <c r="L394" s="20" t="str">
        <f>+_xlfn.XLOOKUP(E394,polaris!$B$2:$B$785,polaris!$C$2:$C$785)</f>
        <v>C_PUENTE CHACON  - AUT [24017740; AO06; HID; GOES; FONDO ADAPTACION]</v>
      </c>
      <c r="M394" t="b">
        <f t="shared" si="6"/>
        <v>1</v>
      </c>
    </row>
    <row r="395" spans="1:13" x14ac:dyDescent="0.25">
      <c r="A395" s="9">
        <v>394</v>
      </c>
      <c r="B395" s="9">
        <v>10</v>
      </c>
      <c r="C395" s="95" t="s">
        <v>12</v>
      </c>
      <c r="D395" t="str">
        <f>+_xlfn.XLOOKUP(B395,polaris!$B$2:$B$785,polaris!$D$2:$D$785)</f>
        <v>HIDROLÓGICA</v>
      </c>
      <c r="E395"/>
      <c r="F395" s="26">
        <v>2702500107</v>
      </c>
      <c r="G395" s="26" t="str" cm="1">
        <f t="array" ref="G395">+_xlfn.XLOOKUP(C395,Hoja1!$E$2:$E$420,Tabla1[Nombre])</f>
        <v>ANGOSTURA - AUT   [2702500107]</v>
      </c>
      <c r="H395" t="str">
        <f>+_xlfn.XLOOKUP(F395,Tabla1[Codigo],Tabla1[Nombre])</f>
        <v>ANGOSTURA - AUT   [2702500107]</v>
      </c>
      <c r="I395" t="str">
        <f>+_xlfn.XLOOKUP(F395,Hoja5!$C$2:$C$420,Hoja5!$G$2:$G$420)</f>
        <v>SUSPENDIDA</v>
      </c>
      <c r="J395" t="str" cm="1">
        <f t="array" ref="J395">+_xlfn.XLOOKUP(F395,Hoja5!$C$2:$C$420,Hoja5!$H$2:H$420)</f>
        <v>NO ESTA EN POLARIS</v>
      </c>
      <c r="L395" t="str">
        <f>+_xlfn.XLOOKUP(B395,polaris!$B$2:$B$785,polaris!$C$2:$C$785)</f>
        <v>ANGOSTURA  - AUT [21137050; TOL; HID; INMARSAT; AO04; FONDO ADAPTACION]</v>
      </c>
      <c r="M395" t="b">
        <f t="shared" si="6"/>
        <v>0</v>
      </c>
    </row>
    <row r="396" spans="1:13" x14ac:dyDescent="0.25">
      <c r="A396" s="9">
        <v>395</v>
      </c>
      <c r="B396" s="9">
        <v>63</v>
      </c>
      <c r="C396" s="95" t="s">
        <v>65</v>
      </c>
      <c r="D396" t="str">
        <f>+_xlfn.XLOOKUP(B396,polaris!$B$2:$B$785,polaris!$D$2:$D$785)</f>
        <v>METEOROLÓGICA</v>
      </c>
      <c r="E396"/>
      <c r="F396" s="26">
        <v>21115180</v>
      </c>
      <c r="G396" s="26" t="str" cm="1">
        <f t="array" ref="G396">+_xlfn.XLOOKUP(C396,Hoja1!$E$2:$E$420,Tabla1[Nombre])</f>
        <v>HACIENDA MANILA - AUT [21115180]</v>
      </c>
      <c r="H396" t="str">
        <f>+_xlfn.XLOOKUP(F396,Tabla1[Codigo],Tabla1[Nombre])</f>
        <v>HACIENDA MANILA - AUT [21115180]</v>
      </c>
      <c r="I396" t="str">
        <f>+_xlfn.XLOOKUP(F396,Hoja5!$C$2:$C$420,Hoja5!$G$2:$G$420)</f>
        <v>SUSPENDIDA</v>
      </c>
      <c r="J396" t="str" cm="1">
        <f t="array" ref="J396">+_xlfn.XLOOKUP(F396,Hoja5!$C$2:$C$420,Hoja5!$H$2:H$420)</f>
        <v>NO ESTA EN POLARIS</v>
      </c>
      <c r="L396" t="str">
        <f>+_xlfn.XLOOKUP(B396,polaris!$B$2:$B$785,polaris!$C$2:$C$785)</f>
        <v>EL DIVISO - AUT [53075020; AO07; ORDEN PUBLICO]</v>
      </c>
      <c r="M396" t="b">
        <f t="shared" si="6"/>
        <v>0</v>
      </c>
    </row>
    <row r="397" spans="1:13" x14ac:dyDescent="0.25">
      <c r="A397" s="9">
        <v>396</v>
      </c>
      <c r="B397" s="9">
        <v>228</v>
      </c>
      <c r="C397" s="95" t="s">
        <v>230</v>
      </c>
      <c r="D397" t="str">
        <f>+_xlfn.XLOOKUP(B397,polaris!$B$2:$B$785,polaris!$D$2:$D$785)</f>
        <v>METEOROLÓGICA</v>
      </c>
      <c r="E397"/>
      <c r="F397" s="26">
        <v>11115020</v>
      </c>
      <c r="G397" s="26" t="str" cm="1">
        <f t="array" ref="G397">+_xlfn.XLOOKUP(C397,Hoja1!$E$2:$E$420,Tabla1[Nombre])</f>
        <v>CAÑASGORDAS  - AUT [11115020]</v>
      </c>
      <c r="H397" t="str">
        <f>+_xlfn.XLOOKUP(F397,Tabla1[Codigo],Tabla1[Nombre])</f>
        <v>CAÑASGORDAS  - AUT [11115020]</v>
      </c>
      <c r="I397" t="str">
        <f>+_xlfn.XLOOKUP(F397,Hoja5!$C$2:$C$420,Hoja5!$G$2:$G$420)</f>
        <v>SUSPENDIDA</v>
      </c>
      <c r="J397" t="str" cm="1">
        <f t="array" ref="J397">+_xlfn.XLOOKUP(F397,Hoja5!$C$2:$C$420,Hoja5!$H$2:H$420)</f>
        <v>NO ESTA EN POLARIS</v>
      </c>
      <c r="L397" t="str">
        <f>+_xlfn.XLOOKUP(B397,polaris!$B$2:$B$785,polaris!$C$2:$C$785)</f>
        <v>UNIVERSIDAD NACIONAL  [21205012; AO 11; FONDO ADAPTACION]</v>
      </c>
      <c r="M397" t="b">
        <f t="shared" si="6"/>
        <v>0</v>
      </c>
    </row>
    <row r="398" spans="1:13" x14ac:dyDescent="0.25">
      <c r="A398" s="9">
        <v>397</v>
      </c>
      <c r="B398" s="9">
        <v>232</v>
      </c>
      <c r="C398" s="95" t="s">
        <v>234</v>
      </c>
      <c r="D398" t="str">
        <f>+_xlfn.XLOOKUP(B398,polaris!$B$2:$B$785,polaris!$D$2:$D$785)</f>
        <v>HIDROLÓGICA</v>
      </c>
      <c r="E398"/>
      <c r="F398" s="26">
        <v>12027010</v>
      </c>
      <c r="G398" s="26" t="str" cm="1">
        <f t="array" ref="G398">+_xlfn.XLOOKUP(C398,Hoja1!$E$2:$E$420,Tabla1[Nombre])</f>
        <v>PUEBLO BELLO  - AUT [12027010]</v>
      </c>
      <c r="H398" t="str">
        <f>+_xlfn.XLOOKUP(F398,Tabla1[Codigo],Tabla1[Nombre])</f>
        <v>PUEBLO BELLO  - AUT [12027010]</v>
      </c>
      <c r="I398" t="str">
        <f>+_xlfn.XLOOKUP(F398,Hoja5!$C$2:$C$420,Hoja5!$G$2:$G$420)</f>
        <v>SUSPENDIDA</v>
      </c>
      <c r="J398" t="str" cm="1">
        <f t="array" ref="J398">+_xlfn.XLOOKUP(F398,Hoja5!$C$2:$C$420,Hoja5!$H$2:H$420)</f>
        <v>NO ESTA EN POLARIS</v>
      </c>
      <c r="L398" t="str">
        <f>+_xlfn.XLOOKUP(B398,polaris!$B$2:$B$785,polaris!$C$2:$C$785)</f>
        <v>LA FONDA - AUT [52017030; AO-07; HID; GPRS; FONDO ADAPTACION]</v>
      </c>
      <c r="M398" t="b">
        <f t="shared" si="6"/>
        <v>0</v>
      </c>
    </row>
    <row r="399" spans="1:13" x14ac:dyDescent="0.25">
      <c r="A399" s="9">
        <v>398</v>
      </c>
      <c r="B399" s="9">
        <v>307</v>
      </c>
      <c r="C399" s="95" t="s">
        <v>309</v>
      </c>
      <c r="D399" t="str">
        <f>+_xlfn.XLOOKUP(B399,polaris!$B$2:$B$785,polaris!$D$2:$D$785)</f>
        <v>HIDROLÓGICA</v>
      </c>
      <c r="E399"/>
      <c r="F399" s="26">
        <v>26095320</v>
      </c>
      <c r="G399" s="26" t="str" cm="1">
        <f t="array" ref="G399">+_xlfn.XLOOKUP(C399,Hoja1!$E$2:$E$420,Tabla1[Nombre])</f>
        <v>EL VINCULO - AUT [26095320]</v>
      </c>
      <c r="H399" t="str">
        <f>+_xlfn.XLOOKUP(F399,Tabla1[Codigo],Tabla1[Nombre])</f>
        <v>EL VINCULO - AUT [26095320]</v>
      </c>
      <c r="I399" t="str">
        <f>+_xlfn.XLOOKUP(F399,Hoja5!$C$2:$C$420,Hoja5!$G$2:$G$420)</f>
        <v>SUSPENDIDA</v>
      </c>
      <c r="J399" t="str" cm="1">
        <f t="array" ref="J399">+_xlfn.XLOOKUP(F399,Hoja5!$C$2:$C$420,Hoja5!$H$2:H$420)</f>
        <v>NO ESTA EN POLARIS</v>
      </c>
      <c r="L399" t="str">
        <f>+_xlfn.XLOOKUP(B399,polaris!$B$2:$B$785,polaris!$C$2:$C$785)</f>
        <v>PALMARIGUANI  - AUT [28047050; MAG; HID; INMARSAT; AO05; FONDO ADAPTACION]</v>
      </c>
      <c r="M399" t="b">
        <f t="shared" si="6"/>
        <v>0</v>
      </c>
    </row>
    <row r="400" spans="1:13" x14ac:dyDescent="0.25">
      <c r="A400" s="9">
        <v>399</v>
      </c>
      <c r="B400" s="9">
        <v>317</v>
      </c>
      <c r="C400" s="95" t="s">
        <v>319</v>
      </c>
      <c r="D400" t="str">
        <f>+_xlfn.XLOOKUP(B400,polaris!$B$2:$B$785,polaris!$D$2:$D$785)</f>
        <v>HIDROLÓGICA</v>
      </c>
      <c r="E400"/>
      <c r="F400" s="26">
        <v>26157170</v>
      </c>
      <c r="G400" s="26" t="str" cm="1">
        <f t="array" ref="G400">+_xlfn.XLOOKUP(C400,Hoja1!$E$2:$E$420,Tabla1[Nombre])</f>
        <v>CONEJERAS2 - AUT [26157170]</v>
      </c>
      <c r="H400" t="str">
        <f>+_xlfn.XLOOKUP(F400,Tabla1[Codigo],Tabla1[Nombre])</f>
        <v>CONEJERAS2 - AUT [26157170]</v>
      </c>
      <c r="I400" t="str">
        <f>+_xlfn.XLOOKUP(F400,Hoja5!$C$2:$C$420,Hoja5!$G$2:$G$420)</f>
        <v>SUSPENDIDA</v>
      </c>
      <c r="J400" t="str" cm="1">
        <f t="array" ref="J400">+_xlfn.XLOOKUP(F400,Hoja5!$C$2:$C$420,Hoja5!$H$2:H$420)</f>
        <v>NO ESTA EN POLARIS</v>
      </c>
      <c r="L400" t="str">
        <f>+_xlfn.XLOOKUP(B400,polaris!$B$2:$B$785,polaris!$C$2:$C$785)</f>
        <v>PUERTO RICO HACIENDA  - AUT [29067060; MAG; HID; GPRS; AO05; FONDO ADAPTACION]</v>
      </c>
      <c r="M400" t="b">
        <f t="shared" si="6"/>
        <v>0</v>
      </c>
    </row>
    <row r="401" spans="1:13" x14ac:dyDescent="0.25">
      <c r="A401" s="9">
        <v>400</v>
      </c>
      <c r="B401" s="9">
        <v>1159</v>
      </c>
      <c r="C401" s="95" t="s">
        <v>816</v>
      </c>
      <c r="D401" t="str">
        <f>+_xlfn.XLOOKUP(B401,polaris!$B$2:$B$785,polaris!$D$2:$D$785)</f>
        <v>HIDROLÓGICA</v>
      </c>
      <c r="E401"/>
      <c r="F401" s="26">
        <v>2119700147</v>
      </c>
      <c r="G401" s="26" t="str" cm="1">
        <f t="array" ref="G401">+_xlfn.XLOOKUP(C401,Hoja1!$E$2:$E$420,Tabla1[Nombre])</f>
        <v>SAN MIGUEL [2119700147] CAMBIO DE TECNOLOGIA</v>
      </c>
      <c r="H401" t="str">
        <f>+_xlfn.XLOOKUP(F401,Tabla1[Codigo],Tabla1[Nombre])</f>
        <v>SAN MIGUEL [2119700147] CAMBIO DE TECNOLOGIA</v>
      </c>
      <c r="I401" t="str">
        <f>+_xlfn.XLOOKUP(F401,Hoja5!$C$2:$C$420,Hoja5!$G$2:$G$420)</f>
        <v>SUSPENDIDA</v>
      </c>
      <c r="J401" t="str" cm="1">
        <f t="array" ref="J401">+_xlfn.XLOOKUP(F401,Hoja5!$C$2:$C$420,Hoja5!$H$2:H$420)</f>
        <v>NO ESTA EN POLARIS</v>
      </c>
      <c r="L401" t="str">
        <f>+_xlfn.XLOOKUP(B401,polaris!$B$2:$B$785,polaris!$C$2:$C$785)</f>
        <v>SAN MIGUEL - AUT [23057140; ANT; HID; GOES: 15C5759A; AO10; IDEAM]</v>
      </c>
      <c r="M401" t="b">
        <f t="shared" si="6"/>
        <v>0</v>
      </c>
    </row>
    <row r="402" spans="1:13" x14ac:dyDescent="0.25">
      <c r="A402" s="9">
        <v>401</v>
      </c>
      <c r="B402" s="9">
        <v>352</v>
      </c>
      <c r="C402" s="95" t="s">
        <v>354</v>
      </c>
      <c r="D402" t="str">
        <f>+_xlfn.XLOOKUP(B402,polaris!$B$2:$B$785,polaris!$D$2:$D$785)</f>
        <v>METEOROLÓGICA</v>
      </c>
      <c r="E402"/>
      <c r="F402" s="26">
        <v>35025090</v>
      </c>
      <c r="G402" s="26" t="str" cm="1">
        <f t="array" ref="G402">+_xlfn.XLOOKUP(C402,Hoja1!$E$2:$E$420,Tabla1[Nombre])</f>
        <v>BOSQUE INTERVENIDO  - AUT [35025090]</v>
      </c>
      <c r="H402" t="str">
        <f>+_xlfn.XLOOKUP(F402,Tabla1[Codigo],Tabla1[Nombre])</f>
        <v>BOSQUE INTERVENIDO  - AUT [35025090]</v>
      </c>
      <c r="I402" t="str">
        <f>+_xlfn.XLOOKUP(F402,Hoja5!$C$2:$C$420,Hoja5!$G$2:$G$420)</f>
        <v>SUSPENDIDA</v>
      </c>
      <c r="J402" t="str" cm="1">
        <f t="array" ref="J402">+_xlfn.XLOOKUP(F402,Hoja5!$C$2:$C$420,Hoja5!$H$2:H$420)</f>
        <v>NO ESTA EN POLARIS</v>
      </c>
      <c r="L402" t="str">
        <f>+_xlfn.XLOOKUP(B402,polaris!$B$2:$B$785,polaris!$C$2:$C$785)</f>
        <v>ARBOLEDAS - AUT   [1602500110; AO 08; MET; GPRS; FONDO ADAPTACION ]</v>
      </c>
      <c r="M402" t="b">
        <f t="shared" si="6"/>
        <v>0</v>
      </c>
    </row>
    <row r="403" spans="1:13" x14ac:dyDescent="0.25">
      <c r="A403" s="9">
        <v>402</v>
      </c>
      <c r="B403" s="9">
        <v>354</v>
      </c>
      <c r="C403" s="95" t="s">
        <v>356</v>
      </c>
      <c r="D403" t="str">
        <f>+_xlfn.XLOOKUP(B403,polaris!$B$2:$B$785,polaris!$D$2:$D$785)</f>
        <v>METEOROLÓGICA</v>
      </c>
      <c r="E403"/>
      <c r="F403" s="26">
        <v>35027510</v>
      </c>
      <c r="G403" s="26" t="str" cm="1">
        <f t="array" ref="G403">+_xlfn.XLOOKUP(C403,Hoja1!$E$2:$E$420,Tabla1[Nombre])</f>
        <v>CALOSTROS BAJO - AUT  [35027510]</v>
      </c>
      <c r="H403" t="str">
        <f>+_xlfn.XLOOKUP(F403,Tabla1[Codigo],Tabla1[Nombre])</f>
        <v>CALOSTROS BAJO - AUT  [35027510]</v>
      </c>
      <c r="I403" t="str">
        <f>+_xlfn.XLOOKUP(F403,Hoja5!$C$2:$C$420,Hoja5!$G$2:$G$420)</f>
        <v>SUSPENDIDA</v>
      </c>
      <c r="J403" t="str" cm="1">
        <f t="array" ref="J403">+_xlfn.XLOOKUP(F403,Hoja5!$C$2:$C$420,Hoja5!$H$2:H$420)</f>
        <v>NO ESTA EN POLARIS</v>
      </c>
      <c r="L403" t="str">
        <f>+_xlfn.XLOOKUP(B403,polaris!$B$2:$B$785,polaris!$C$2:$C$785)</f>
        <v>CHINACOTA - AUT   [3701500114; AO 08; MET; GPRS; FONDO ADAPTACION]</v>
      </c>
      <c r="M403" t="b">
        <f t="shared" si="6"/>
        <v>0</v>
      </c>
    </row>
    <row r="404" spans="1:13" x14ac:dyDescent="0.25">
      <c r="A404" s="9">
        <v>403</v>
      </c>
      <c r="B404" s="9">
        <v>358</v>
      </c>
      <c r="C404" s="95" t="s">
        <v>360</v>
      </c>
      <c r="D404" t="str">
        <f>+_xlfn.XLOOKUP(B404,polaris!$B$2:$B$785,polaris!$D$2:$D$785)</f>
        <v>METEOROLÓGICA</v>
      </c>
      <c r="E404"/>
      <c r="F404" s="26">
        <v>35027500</v>
      </c>
      <c r="G404" s="26" t="str" cm="1">
        <f t="array" ref="G404">+_xlfn.XLOOKUP(C404,Hoja1!$E$2:$E$420,Tabla1[Nombre])</f>
        <v>QUEBRADA RINCON  - AUT [35027500]</v>
      </c>
      <c r="H404" t="str">
        <f>+_xlfn.XLOOKUP(F404,Tabla1[Codigo],Tabla1[Nombre])</f>
        <v>QUEBRADA RINCON  - AUT [35027500]</v>
      </c>
      <c r="I404" t="str">
        <f>+_xlfn.XLOOKUP(F404,Hoja5!$C$2:$C$420,Hoja5!$G$2:$G$420)</f>
        <v>SUSPENDIDA</v>
      </c>
      <c r="J404" t="str" cm="1">
        <f t="array" ref="J404">+_xlfn.XLOOKUP(F404,Hoja5!$C$2:$C$420,Hoja5!$H$2:H$420)</f>
        <v>NO ESTA EN POLARIS</v>
      </c>
      <c r="L404" t="str">
        <f>+_xlfn.XLOOKUP(B404,polaris!$B$2:$B$785,polaris!$C$2:$C$785)</f>
        <v>POLIDEPORTIVO CACHIRA - AUT   [2319500125; AO 08; MET; GPRS; FONTO ADAPTACION]</v>
      </c>
      <c r="M404" t="b">
        <f t="shared" si="6"/>
        <v>0</v>
      </c>
    </row>
    <row r="405" spans="1:13" x14ac:dyDescent="0.25">
      <c r="A405" s="9">
        <v>404</v>
      </c>
      <c r="B405" s="9">
        <v>364</v>
      </c>
      <c r="C405" s="95" t="s">
        <v>366</v>
      </c>
      <c r="D405" t="str">
        <f>+_xlfn.XLOOKUP(B405,polaris!$B$2:$B$785,polaris!$D$2:$D$785)</f>
        <v>METEOROLÓGICA</v>
      </c>
      <c r="E405"/>
      <c r="F405" s="26">
        <v>26247050</v>
      </c>
      <c r="G405" s="26" t="str" cm="1">
        <f t="array" ref="G405">+_xlfn.XLOOKUP(C405,Hoja1!$E$2:$E$420,Tabla1[Nombre])</f>
        <v>LAS CAMELIAS - AUT [26247050]</v>
      </c>
      <c r="H405" t="str">
        <f>+_xlfn.XLOOKUP(F405,Tabla1[Codigo],Tabla1[Nombre])</f>
        <v>LAS CAMELIAS - AUT [26247050]</v>
      </c>
      <c r="I405" t="str">
        <f>+_xlfn.XLOOKUP(F405,Hoja5!$C$2:$C$420,Hoja5!$G$2:$G$420)</f>
        <v>SUSPENDIDA</v>
      </c>
      <c r="J405" t="str" cm="1">
        <f t="array" ref="J405">+_xlfn.XLOOKUP(F405,Hoja5!$C$2:$C$420,Hoja5!$H$2:H$420)</f>
        <v>NO ESTA EN POLARIS</v>
      </c>
      <c r="L405" t="str">
        <f>+_xlfn.XLOOKUP(B405,polaris!$B$2:$B$785,polaris!$C$2:$C$785)</f>
        <v>PUENTE GUILLERMO - AUT  [2401500052; AO 08; MET; GPRS; FONDO ADAPTACION]</v>
      </c>
      <c r="M405" t="b">
        <f t="shared" si="6"/>
        <v>0</v>
      </c>
    </row>
    <row r="406" spans="1:13" x14ac:dyDescent="0.25">
      <c r="A406" s="9">
        <v>405</v>
      </c>
      <c r="B406" s="9">
        <v>365</v>
      </c>
      <c r="C406" s="95" t="s">
        <v>367</v>
      </c>
      <c r="D406" t="str">
        <f>+_xlfn.XLOOKUP(B406,polaris!$B$2:$B$785,polaris!$D$2:$D$785)</f>
        <v>HIDROLÓGICA</v>
      </c>
      <c r="E406"/>
      <c r="F406" s="26">
        <v>26217050</v>
      </c>
      <c r="G406" s="26" t="str" cm="1">
        <f t="array" ref="G406">+_xlfn.XLOOKUP(C406,Hoja1!$E$2:$E$420,Tabla1[Nombre])</f>
        <v>CAÑAFISTO [26217050]</v>
      </c>
      <c r="H406" t="str">
        <f>+_xlfn.XLOOKUP(F406,Tabla1[Codigo],Tabla1[Nombre])</f>
        <v>CAÑAFISTO [26217050]</v>
      </c>
      <c r="I406" t="str">
        <f>+_xlfn.XLOOKUP(F406,Hoja5!$C$2:$C$420,Hoja5!$G$2:$G$420)</f>
        <v>SUSPENDIDA</v>
      </c>
      <c r="J406" t="str" cm="1">
        <f t="array" ref="J406">+_xlfn.XLOOKUP(F406,Hoja5!$C$2:$C$420,Hoja5!$H$2:H$420)</f>
        <v>NO ESTA EN POLARIS</v>
      </c>
      <c r="L406" t="str">
        <f>+_xlfn.XLOOKUP(B406,polaris!$B$2:$B$785,polaris!$C$2:$C$785)</f>
        <v>PUENTE NACIONAL - AUT [24017590; AO 08; HID; GPRS; FONDO ADAPTACION]</v>
      </c>
      <c r="M406" t="b">
        <f t="shared" si="6"/>
        <v>0</v>
      </c>
    </row>
    <row r="407" spans="1:13" x14ac:dyDescent="0.25">
      <c r="A407" s="9">
        <v>406</v>
      </c>
      <c r="B407" s="9">
        <v>370</v>
      </c>
      <c r="C407" s="95" t="s">
        <v>372</v>
      </c>
      <c r="D407" t="str">
        <f>+_xlfn.XLOOKUP(B407,polaris!$B$2:$B$785,polaris!$D$2:$D$785)</f>
        <v>METEOROLÓGICA</v>
      </c>
      <c r="E407"/>
      <c r="F407" s="26">
        <v>25025000</v>
      </c>
      <c r="G407" s="26" t="str" cm="1">
        <f t="array" ref="G407">+_xlfn.XLOOKUP(C407,Hoja1!$E$2:$E$420,Tabla1[Nombre])</f>
        <v>EL DIFICIL - AUT [25025000]</v>
      </c>
      <c r="H407" t="str">
        <f>+_xlfn.XLOOKUP(F407,Tabla1[Codigo],Tabla1[Nombre])</f>
        <v>EL DIFICIL - AUT [25025000]</v>
      </c>
      <c r="I407" t="str">
        <f>+_xlfn.XLOOKUP(F407,Hoja5!$C$2:$C$420,Hoja5!$G$2:$G$420)</f>
        <v>POR CAMBIO DE TECNOLOGIA</v>
      </c>
      <c r="J407" t="str" cm="1">
        <f t="array" ref="J407">+_xlfn.XLOOKUP(F407,Hoja5!$C$2:$C$420,Hoja5!$H$2:H$420)</f>
        <v>NO ESTA EN POLARIS</v>
      </c>
      <c r="L407" t="str">
        <f>+_xlfn.XLOOKUP(B407,polaris!$B$2:$B$785,polaris!$C$2:$C$785)</f>
        <v>LAS BRISAS - AUT [26155150; CAL; MET;WIFI; AO09; FONDO ADAPTACION]</v>
      </c>
      <c r="M407" t="b">
        <f t="shared" si="6"/>
        <v>0</v>
      </c>
    </row>
    <row r="408" spans="1:13" x14ac:dyDescent="0.25">
      <c r="A408" s="9">
        <v>407</v>
      </c>
      <c r="B408" s="9">
        <v>371</v>
      </c>
      <c r="C408" s="95" t="s">
        <v>373</v>
      </c>
      <c r="D408" t="str">
        <f>+_xlfn.XLOOKUP(B408,polaris!$B$2:$B$785,polaris!$D$2:$D$785)</f>
        <v>HIDROLÓGICA</v>
      </c>
      <c r="E408"/>
      <c r="F408" s="26">
        <v>2804500076</v>
      </c>
      <c r="G408" s="26" t="str" cm="1">
        <f t="array" ref="G408">+_xlfn.XLOOKUP(C408,Hoja1!$E$2:$E$420,Tabla1[Nombre])</f>
        <v>PALMARITO - AUT [2804500076]</v>
      </c>
      <c r="H408" t="str">
        <f>+_xlfn.XLOOKUP(F408,Tabla1[Codigo],Tabla1[Nombre])</f>
        <v>PALMARITO - AUT [2804500076]</v>
      </c>
      <c r="I408" t="str">
        <f>+_xlfn.XLOOKUP(F408,Hoja5!$C$2:$C$420,Hoja5!$G$2:$G$420)</f>
        <v>SUSPENDIDA</v>
      </c>
      <c r="J408" t="str" cm="1">
        <f t="array" ref="J408">+_xlfn.XLOOKUP(F408,Hoja5!$C$2:$C$420,Hoja5!$H$2:H$420)</f>
        <v>NO ESTA EN POLARIS</v>
      </c>
      <c r="L408" t="str">
        <f>+_xlfn.XLOOKUP(B408,polaris!$B$2:$B$785,polaris!$C$2:$C$785)</f>
        <v>AYACUCHO - AUT [23147040; SAN; HID; INMARSAT; AO08; IDEAM]</v>
      </c>
      <c r="M408" t="b">
        <f t="shared" si="6"/>
        <v>0</v>
      </c>
    </row>
    <row r="409" spans="1:13" x14ac:dyDescent="0.25">
      <c r="A409" s="9">
        <v>408</v>
      </c>
      <c r="B409" s="9">
        <v>378</v>
      </c>
      <c r="C409" s="95" t="s">
        <v>380</v>
      </c>
      <c r="D409" t="str">
        <f>+_xlfn.XLOOKUP(B409,polaris!$B$2:$B$785,polaris!$D$2:$D$785)</f>
        <v>METEOROLÓGICA</v>
      </c>
      <c r="E409"/>
      <c r="F409" s="26">
        <v>11155030</v>
      </c>
      <c r="G409" s="26" t="str" cm="1">
        <f t="array" ref="G409">+_xlfn.XLOOKUP(C409,Hoja1!$E$2:$E$420,Tabla1[Nombre])</f>
        <v>CAPURGANA - AUT [11155030]</v>
      </c>
      <c r="H409" t="str">
        <f>+_xlfn.XLOOKUP(F409,Tabla1[Codigo],Tabla1[Nombre])</f>
        <v>CAPURGANA - AUT [11155030]</v>
      </c>
      <c r="I409" t="str">
        <f>+_xlfn.XLOOKUP(F409,Hoja5!$C$2:$C$420,Hoja5!$G$2:$G$420)</f>
        <v>SUSPENDIDA</v>
      </c>
      <c r="J409" t="str" cm="1">
        <f t="array" ref="J409">+_xlfn.XLOOKUP(F409,Hoja5!$C$2:$C$420,Hoja5!$H$2:H$420)</f>
        <v>NO ESTA EN POLARIS</v>
      </c>
      <c r="L409" t="str">
        <f>+_xlfn.XLOOKUP(B409,polaris!$B$2:$B$785,polaris!$C$2:$C$785)</f>
        <v>TONA  - AUT [23190130; AO 08; MET; GPRS; FONDO ADAPTACION]</v>
      </c>
      <c r="M409" t="b">
        <f t="shared" si="6"/>
        <v>0</v>
      </c>
    </row>
    <row r="410" spans="1:13" x14ac:dyDescent="0.25">
      <c r="A410" s="9">
        <v>409</v>
      </c>
      <c r="B410" s="9">
        <v>380</v>
      </c>
      <c r="C410" s="95" t="s">
        <v>382</v>
      </c>
      <c r="D410" t="str">
        <f>+_xlfn.XLOOKUP(B410,polaris!$B$2:$B$785,polaris!$D$2:$D$785)</f>
        <v>METEOROLÓGICA</v>
      </c>
      <c r="E410"/>
      <c r="F410" s="26">
        <v>12015110</v>
      </c>
      <c r="G410" s="26" t="str" cm="1">
        <f t="array" ref="G410">+_xlfn.XLOOKUP(C410,Hoja1!$E$2:$E$420,Tabla1[Nombre])</f>
        <v>CHIGORODO - AUT [12015110]</v>
      </c>
      <c r="H410" t="str">
        <f>+_xlfn.XLOOKUP(F410,Tabla1[Codigo],Tabla1[Nombre])</f>
        <v>CHIGORODO - AUT [12015110]</v>
      </c>
      <c r="I410" t="str">
        <f>+_xlfn.XLOOKUP(F410,Hoja5!$C$2:$C$420,Hoja5!$G$2:$G$420)</f>
        <v>SUSPENDIDA</v>
      </c>
      <c r="J410" t="str" cm="1">
        <f t="array" ref="J410">+_xlfn.XLOOKUP(F410,Hoja5!$C$2:$C$420,Hoja5!$H$2:H$420)</f>
        <v>NO ESTA EN POLARIS</v>
      </c>
      <c r="L410" t="str">
        <f>+_xlfn.XLOOKUP(B410,polaris!$B$2:$B$785,polaris!$C$2:$C$785)</f>
        <v>CINERA-VILLA OLGA [16025040; AO 08; MET; GPRS; FONDO ADAPTACION ]</v>
      </c>
      <c r="M410" t="b">
        <f t="shared" si="6"/>
        <v>0</v>
      </c>
    </row>
    <row r="411" spans="1:13" x14ac:dyDescent="0.25">
      <c r="A411" s="91">
        <v>410</v>
      </c>
      <c r="B411" s="91">
        <v>381</v>
      </c>
      <c r="C411" s="95" t="s">
        <v>383</v>
      </c>
      <c r="D411" s="27" t="s">
        <v>828</v>
      </c>
      <c r="E411"/>
      <c r="F411" s="26">
        <v>27015290</v>
      </c>
      <c r="G411" s="26" t="str" cm="1">
        <f t="array" ref="G411">+_xlfn.XLOOKUP(C411,Hoja1!$E$2:$E$420,Tabla1[Nombre])</f>
        <v>PAJARITO - AUT [27015290]</v>
      </c>
      <c r="H411" t="str">
        <f>+_xlfn.XLOOKUP(F411,Tabla1[Codigo],Tabla1[Nombre])</f>
        <v>PAJARITO - AUT [27015290]</v>
      </c>
      <c r="I411" t="str">
        <f>+_xlfn.XLOOKUP(F411,Hoja5!$C$2:$C$420,Hoja5!$G$2:$G$420)</f>
        <v>SUSPENDIDA</v>
      </c>
      <c r="J411" t="str" cm="1">
        <f t="array" ref="J411">+_xlfn.XLOOKUP(F411,Hoja5!$C$2:$C$420,Hoja5!$H$2:H$420)</f>
        <v>NO ESTA EN POLARIS</v>
      </c>
      <c r="L411" t="e">
        <f>+_xlfn.XLOOKUP(B411,polaris!$B$2:$B$785,polaris!$C$2:$C$785)</f>
        <v>#N/A</v>
      </c>
      <c r="M411" t="e">
        <f t="shared" si="6"/>
        <v>#N/A</v>
      </c>
    </row>
    <row r="412" spans="1:13" x14ac:dyDescent="0.25">
      <c r="A412" s="9">
        <v>411</v>
      </c>
      <c r="B412" s="9">
        <v>382</v>
      </c>
      <c r="C412" s="95" t="s">
        <v>384</v>
      </c>
      <c r="D412" t="str">
        <f>+_xlfn.XLOOKUP(B412,polaris!$B$2:$B$785,polaris!$D$2:$D$785)</f>
        <v>HIDROLÓGICA</v>
      </c>
      <c r="E412"/>
      <c r="F412" s="26">
        <v>27037030</v>
      </c>
      <c r="G412" s="26" t="str" cm="1">
        <f t="array" ref="G412">+_xlfn.XLOOKUP(C412,Hoja1!$E$2:$E$420,Tabla1[Nombre])</f>
        <v>SAN JUAN NECHI - AUT [27037030]</v>
      </c>
      <c r="H412" t="str">
        <f>+_xlfn.XLOOKUP(F412,Tabla1[Codigo],Tabla1[Nombre])</f>
        <v>SAN JUAN NECHI - AUT [27037030]</v>
      </c>
      <c r="I412" t="str">
        <f>+_xlfn.XLOOKUP(F412,Hoja5!$C$2:$C$420,Hoja5!$G$2:$G$420)</f>
        <v>SUSPENDIDA</v>
      </c>
      <c r="J412" t="str" cm="1">
        <f t="array" ref="J412">+_xlfn.XLOOKUP(F412,Hoja5!$C$2:$C$420,Hoja5!$H$2:H$420)</f>
        <v>NO ESTA EN POLARIS</v>
      </c>
      <c r="L412" t="str">
        <f>+_xlfn.XLOOKUP(B412,polaris!$B$2:$B$785,polaris!$C$2:$C$785)</f>
        <v>PUENTE SARDINATA - AUT [16037030; NDS; HID; INMARSAT; AO08; FONDO ADAPTACION]</v>
      </c>
      <c r="M412" t="b">
        <f t="shared" si="6"/>
        <v>0</v>
      </c>
    </row>
    <row r="413" spans="1:13" x14ac:dyDescent="0.25">
      <c r="A413" s="9">
        <v>412</v>
      </c>
      <c r="B413" s="9">
        <v>383</v>
      </c>
      <c r="C413" s="95" t="s">
        <v>385</v>
      </c>
      <c r="D413" t="str">
        <f>+_xlfn.XLOOKUP(B413,polaris!$B$2:$B$785,polaris!$D$2:$D$785)</f>
        <v>METEOROLÓGICA</v>
      </c>
      <c r="E413"/>
      <c r="F413" s="26">
        <v>2308500068</v>
      </c>
      <c r="G413" s="26" t="str" cm="1">
        <f t="array" ref="G413">+_xlfn.XLOOKUP(C413,Hoja1!$E$2:$E$420,Tabla1[Nombre])</f>
        <v>SANTUARIO - AUT [2308500068]</v>
      </c>
      <c r="H413" t="str">
        <f>+_xlfn.XLOOKUP(F413,Tabla1[Codigo],Tabla1[Nombre])</f>
        <v>SANTUARIO - AUT [2308500068]</v>
      </c>
      <c r="I413" t="str">
        <f>+_xlfn.XLOOKUP(F413,Hoja5!$C$2:$C$420,Hoja5!$G$2:$G$420)</f>
        <v>SUSPENDIDA</v>
      </c>
      <c r="J413" t="str" cm="1">
        <f t="array" ref="J413">+_xlfn.XLOOKUP(F413,Hoja5!$C$2:$C$420,Hoja5!$H$2:H$420)</f>
        <v>NO ESTA EN POLARIS</v>
      </c>
      <c r="L413" t="str">
        <f>+_xlfn.XLOOKUP(B413,polaris!$B$2:$B$785,polaris!$C$2:$C$785)</f>
        <v>LA MARIA - AUT [16040050; NDS; MET; INMARSAT; AO08; FONDO ADAPTACION]</v>
      </c>
      <c r="M413" t="b">
        <f t="shared" si="6"/>
        <v>0</v>
      </c>
    </row>
    <row r="414" spans="1:13" x14ac:dyDescent="0.25">
      <c r="A414" s="9">
        <v>413</v>
      </c>
      <c r="B414" s="9">
        <v>384</v>
      </c>
      <c r="C414" s="95" t="s">
        <v>386</v>
      </c>
      <c r="D414" t="str">
        <f>+_xlfn.XLOOKUP(B414,polaris!$B$2:$B$785,polaris!$D$2:$D$785)</f>
        <v>HIDROLÓGICA</v>
      </c>
      <c r="E414"/>
      <c r="F414" s="92">
        <v>11050020</v>
      </c>
      <c r="G414" s="26" t="e" cm="1">
        <f t="array" ref="G414">+_xlfn.XLOOKUP(C414,Hoja1!$E$2:$E$420,Tabla1[Nombre])</f>
        <v>#N/A</v>
      </c>
      <c r="H414" t="str">
        <f>+_xlfn.XLOOKUP(F414,Tabla1[Codigo],Tabla1[Nombre])</f>
        <v>BETE [1105002]</v>
      </c>
      <c r="I414" t="str">
        <f>+_xlfn.XLOOKUP(F414,Hoja5!$C$2:$C$420,Hoja5!$G$2:$G$420)</f>
        <v>POR CAMBIO DE TECNOLOGIA</v>
      </c>
      <c r="J414" t="str" cm="1">
        <f t="array" ref="J414">+_xlfn.XLOOKUP(F414,Hoja5!$C$2:$C$420,Hoja5!$H$2:H$420)</f>
        <v>NO ESTA EN POLARIS</v>
      </c>
      <c r="L414" t="str">
        <f>+_xlfn.XLOOKUP(B414,polaris!$B$2:$B$785,polaris!$C$2:$C$785)</f>
        <v>PUENTE NEGRO  - AUT [26147140; AO 09; HID; GPRS; FONDO ADAPTACION]</v>
      </c>
      <c r="M414" t="b">
        <f t="shared" si="6"/>
        <v>0</v>
      </c>
    </row>
    <row r="415" spans="1:13" x14ac:dyDescent="0.25">
      <c r="A415" s="9">
        <v>414</v>
      </c>
      <c r="B415" s="9">
        <v>388</v>
      </c>
      <c r="C415" s="95" t="s">
        <v>390</v>
      </c>
      <c r="D415" t="str">
        <f>+_xlfn.XLOOKUP(B415,polaris!$B$2:$B$785,polaris!$D$2:$D$785)</f>
        <v>METEOROLÓGICA</v>
      </c>
      <c r="E415"/>
      <c r="F415" s="26">
        <v>2501700189</v>
      </c>
      <c r="G415" s="26" t="str" cm="1">
        <f t="array" ref="G415">+_xlfn.XLOOKUP(C415,Hoja1!$E$2:$E$420,Tabla1[Nombre])</f>
        <v>URÉ [2501700189]</v>
      </c>
      <c r="H415" t="str">
        <f>+_xlfn.XLOOKUP(F415,Tabla1[Codigo],Tabla1[Nombre])</f>
        <v>URÉ [2501700189]</v>
      </c>
      <c r="I415" t="str">
        <f>+_xlfn.XLOOKUP(F415,Hoja5!$C$2:$C$420,Hoja5!$G$2:$G$420)</f>
        <v>POR CAMBIO DE TECNOLOGIA</v>
      </c>
      <c r="J415" t="str" cm="1">
        <f t="array" ref="J415">+_xlfn.XLOOKUP(F415,Hoja5!$C$2:$C$420,Hoja5!$H$2:H$420)</f>
        <v>NO ESTA EN POLARIS</v>
      </c>
      <c r="L415" t="str">
        <f>+_xlfn.XLOOKUP(B415,polaris!$B$2:$B$785,polaris!$C$2:$C$785)</f>
        <v>CACHIRI  - AUT [23195200; AO 08; MET; GPRS; FONDO ADAPTACION]</v>
      </c>
      <c r="M415" t="b">
        <f t="shared" si="6"/>
        <v>0</v>
      </c>
    </row>
    <row r="416" spans="1:13" x14ac:dyDescent="0.25">
      <c r="A416" s="9">
        <v>415</v>
      </c>
      <c r="B416" s="9">
        <v>392</v>
      </c>
      <c r="C416" s="95" t="s">
        <v>817</v>
      </c>
      <c r="D416" t="str">
        <f>+_xlfn.XLOOKUP(B416,polaris!$B$2:$B$785,polaris!$D$2:$D$785)</f>
        <v>HIDROLÓGICA</v>
      </c>
      <c r="E416"/>
      <c r="F416" s="26">
        <v>21050090</v>
      </c>
      <c r="G416" s="26" t="str" cm="1">
        <f t="array" ref="G416">+_xlfn.XLOOKUP(C416,Hoja1!$E$2:$E$420,Tabla1[Nombre])</f>
        <v>NATAGA  - AUT [21050090] CAMBIO DE TECNOLOGIA</v>
      </c>
      <c r="H416" t="str">
        <f>+_xlfn.XLOOKUP(F416,Tabla1[Codigo],Tabla1[Nombre])</f>
        <v>NATAGA  - AUT [21050090] CAMBIO DE TECNOLOGIA</v>
      </c>
      <c r="I416" t="str">
        <f>+_xlfn.XLOOKUP(F416,Hoja5!$C$2:$C$420,Hoja5!$G$2:$G$420)</f>
        <v>SUSPENDIDA</v>
      </c>
      <c r="J416" t="str" cm="1">
        <f t="array" ref="J416">+_xlfn.XLOOKUP(F416,Hoja5!$C$2:$C$420,Hoja5!$H$2:H$420)</f>
        <v>NO ESTA EN POLARIS</v>
      </c>
      <c r="L416" t="str">
        <f>+_xlfn.XLOOKUP(B416,polaris!$B$2:$B$785,polaris!$C$2:$C$785)</f>
        <v>PUENTE ARAGON  - AUT [26017060; CAU; HID; INMARSAT; AO09; FONDO ADAPTACION]</v>
      </c>
      <c r="M416" t="b">
        <f t="shared" si="6"/>
        <v>0</v>
      </c>
    </row>
    <row r="417" spans="1:13" x14ac:dyDescent="0.25">
      <c r="A417" s="9">
        <v>416</v>
      </c>
      <c r="B417" s="9">
        <v>393</v>
      </c>
      <c r="C417" s="95" t="s">
        <v>395</v>
      </c>
      <c r="D417" t="str">
        <f>+_xlfn.XLOOKUP(B417,polaris!$B$2:$B$785,polaris!$D$2:$D$785)</f>
        <v>METEOROLÓGICA</v>
      </c>
      <c r="E417"/>
      <c r="F417" s="26">
        <v>29065140</v>
      </c>
      <c r="G417" s="26" t="str" cm="1">
        <f t="array" ref="G417">+_xlfn.XLOOKUP(C417,Hoja1!$E$2:$E$420,Tabla1[Nombre])</f>
        <v>COLEGIO KANKAWARWA - AUT [29065140]</v>
      </c>
      <c r="H417" t="str">
        <f>+_xlfn.XLOOKUP(F417,Tabla1[Codigo],Tabla1[Nombre])</f>
        <v>COLEGIO KANKAWARWA - AUT [29065140]</v>
      </c>
      <c r="I417" t="str">
        <f>+_xlfn.XLOOKUP(F417,Hoja5!$C$2:$C$420,Hoja5!$G$2:$G$420)</f>
        <v>SUSPENDIDA</v>
      </c>
      <c r="J417" t="str" cm="1">
        <f t="array" ref="J417">+_xlfn.XLOOKUP(F417,Hoja5!$C$2:$C$420,Hoja5!$H$2:H$420)</f>
        <v>NO ESTA EN POLARIS</v>
      </c>
      <c r="L417" t="str">
        <f>+_xlfn.XLOOKUP(B417,polaris!$B$2:$B$785,polaris!$C$2:$C$785)</f>
        <v>SANTA LUCIA - AUT   [2610500131;VDC;MET; CP;N;AO09;H8; JSOCAMPO; 45-15; IPWD; R24;FNCM; ;]</v>
      </c>
      <c r="M417" t="b">
        <f t="shared" si="6"/>
        <v>0</v>
      </c>
    </row>
    <row r="418" spans="1:13" x14ac:dyDescent="0.25">
      <c r="A418" s="9">
        <v>417</v>
      </c>
      <c r="B418" s="9">
        <v>398</v>
      </c>
      <c r="C418" s="95" t="s">
        <v>400</v>
      </c>
      <c r="D418" t="str">
        <f>+_xlfn.XLOOKUP(B418,polaris!$B$2:$B$785,polaris!$D$2:$D$785)</f>
        <v>HIDROLÓGICA</v>
      </c>
      <c r="E418"/>
      <c r="F418" s="26">
        <v>26057030</v>
      </c>
      <c r="G418" s="26" t="str" cm="1">
        <f t="array" ref="G418">+_xlfn.XLOOKUP(C418,Hoja1!$E$2:$E$420,Tabla1[Nombre])</f>
        <v>POTRERITO AUT [26057030]</v>
      </c>
      <c r="H418" t="str">
        <f>+_xlfn.XLOOKUP(F418,Tabla1[Codigo],Tabla1[Nombre])</f>
        <v>POTRERITO AUT [26057030]</v>
      </c>
      <c r="I418" t="str">
        <f>+_xlfn.XLOOKUP(F418,Hoja5!$C$2:$C$420,Hoja5!$G$2:$G$420)</f>
        <v>SUSPENDIDA</v>
      </c>
      <c r="J418" t="str" cm="1">
        <f t="array" ref="J418">+_xlfn.XLOOKUP(F418,Hoja5!$C$2:$C$420,Hoja5!$H$2:H$420)</f>
        <v>NO ESTA EN POLARIS</v>
      </c>
      <c r="L418" t="str">
        <f>+_xlfn.XLOOKUP(B418,polaris!$B$2:$B$785,polaris!$C$2:$C$785)</f>
        <v>PUENTE CARRETERA [52017100; AO 07; ORDEN PUBLICO]</v>
      </c>
      <c r="M418" t="b">
        <f t="shared" si="6"/>
        <v>0</v>
      </c>
    </row>
    <row r="419" spans="1:13" x14ac:dyDescent="0.25">
      <c r="A419" s="9">
        <v>418</v>
      </c>
      <c r="B419" s="9">
        <v>401</v>
      </c>
      <c r="C419" s="95" t="s">
        <v>403</v>
      </c>
      <c r="D419" t="str">
        <f>+_xlfn.XLOOKUP(B419,polaris!$B$2:$B$785,polaris!$D$2:$D$785)</f>
        <v>HIDROLÓGICA</v>
      </c>
      <c r="E419"/>
      <c r="F419" s="26">
        <v>5311500147</v>
      </c>
      <c r="G419" s="26" t="str" cm="1">
        <f t="array" ref="G419">+_xlfn.XLOOKUP(C419,Hoja1!$E$2:$E$420,Tabla1[Nombre])</f>
        <v>INFANTERIA MARINA [5311500147]</v>
      </c>
      <c r="H419" t="str">
        <f>+_xlfn.XLOOKUP(F419,Tabla1[Codigo],Tabla1[Nombre])</f>
        <v>INFANTERIA MARINA [5311500147]</v>
      </c>
      <c r="I419" t="str">
        <f>+_xlfn.XLOOKUP(F419,Hoja5!$C$2:$C$420,Hoja5!$G$2:$G$420)</f>
        <v>SUSPENDIDA</v>
      </c>
      <c r="J419" t="str" cm="1">
        <f t="array" ref="J419">+_xlfn.XLOOKUP(F419,Hoja5!$C$2:$C$420,Hoja5!$H$2:H$420)</f>
        <v>NO ESTA EN POLARIS</v>
      </c>
      <c r="L419" t="str">
        <f>+_xlfn.XLOOKUP(B419,polaris!$B$2:$B$785,polaris!$C$2:$C$785)</f>
        <v>GUAYABAL - AUT   [2633700150; AO 09; HID; GPRS; FONDO ADAPTACIÓN ]</v>
      </c>
      <c r="M419" t="b">
        <f t="shared" si="6"/>
        <v>0</v>
      </c>
    </row>
    <row r="420" spans="1:13" x14ac:dyDescent="0.25">
      <c r="A420" s="9">
        <v>419</v>
      </c>
      <c r="B420" s="18">
        <v>1155</v>
      </c>
      <c r="C420" s="95" t="s">
        <v>818</v>
      </c>
      <c r="D420" t="str">
        <f>+_xlfn.XLOOKUP(B420,polaris!$B$2:$B$785,polaris!$D$2:$D$785)</f>
        <v>METEOROLÓGICA</v>
      </c>
      <c r="E420"/>
      <c r="F420" s="26">
        <v>35027002</v>
      </c>
      <c r="G420" s="26" t="str" cm="1">
        <f t="array" ref="G420">+_xlfn.XLOOKUP(C420,Hoja1!$E$2:$E$420,Tabla1[Nombre])</f>
        <v>PARQUE RAFAEL NUNEZ [35027002]</v>
      </c>
      <c r="H420" t="str">
        <f>+_xlfn.XLOOKUP(F420,Tabla1[Codigo],Tabla1[Nombre])</f>
        <v>PARQUE RAFAEL NUNEZ [35027002]</v>
      </c>
      <c r="I420" t="str">
        <f>+_xlfn.XLOOKUP(F420,Hoja5!$C$2:$C$420,Hoja5!$G$2:$G$420)</f>
        <v>OFFLINE MANUAL</v>
      </c>
      <c r="J420" t="str" cm="1">
        <f t="array" ref="J420">+_xlfn.XLOOKUP(F420,Hoja5!$C$2:$C$420,Hoja5!$H$2:H$420)</f>
        <v>PROC SUSPENSION</v>
      </c>
      <c r="L420" t="str">
        <f>+_xlfn.XLOOKUP(B420,polaris!$B$2:$B$785,polaris!$C$2:$C$785)</f>
        <v>PARQUE RAFAEL NUNEZ [35027002; AO11; IDEAM]</v>
      </c>
      <c r="M420" t="b">
        <f t="shared" si="6"/>
        <v>0</v>
      </c>
    </row>
    <row r="421" spans="1:13" x14ac:dyDescent="0.25">
      <c r="E421"/>
    </row>
    <row r="422" spans="1:13" x14ac:dyDescent="0.25">
      <c r="E422"/>
    </row>
    <row r="423" spans="1:13" x14ac:dyDescent="0.25">
      <c r="E423"/>
    </row>
    <row r="424" spans="1:13" x14ac:dyDescent="0.25">
      <c r="E424"/>
    </row>
    <row r="425" spans="1:13" x14ac:dyDescent="0.25">
      <c r="E425"/>
    </row>
    <row r="426" spans="1:13" x14ac:dyDescent="0.25">
      <c r="E426"/>
    </row>
    <row r="427" spans="1:13" x14ac:dyDescent="0.25">
      <c r="E427"/>
    </row>
    <row r="428" spans="1:13" x14ac:dyDescent="0.25">
      <c r="E428"/>
    </row>
    <row r="429" spans="1:13" x14ac:dyDescent="0.25">
      <c r="E429"/>
    </row>
    <row r="430" spans="1:13" x14ac:dyDescent="0.25">
      <c r="E430"/>
    </row>
    <row r="431" spans="1:13" x14ac:dyDescent="0.25">
      <c r="E431"/>
    </row>
    <row r="432" spans="1:13" x14ac:dyDescent="0.25">
      <c r="E432"/>
    </row>
    <row r="433" spans="5:5" x14ac:dyDescent="0.25">
      <c r="E433"/>
    </row>
    <row r="434" spans="5:5" x14ac:dyDescent="0.25">
      <c r="E434"/>
    </row>
    <row r="435" spans="5:5" x14ac:dyDescent="0.25">
      <c r="E435"/>
    </row>
    <row r="436" spans="5:5" x14ac:dyDescent="0.25">
      <c r="E436"/>
    </row>
    <row r="437" spans="5:5" x14ac:dyDescent="0.25">
      <c r="E437"/>
    </row>
    <row r="438" spans="5:5" x14ac:dyDescent="0.25">
      <c r="E438"/>
    </row>
    <row r="439" spans="5:5" x14ac:dyDescent="0.25">
      <c r="E439"/>
    </row>
    <row r="440" spans="5:5" x14ac:dyDescent="0.25">
      <c r="E440"/>
    </row>
    <row r="441" spans="5:5" x14ac:dyDescent="0.25">
      <c r="E441"/>
    </row>
    <row r="442" spans="5:5" x14ac:dyDescent="0.25">
      <c r="E442"/>
    </row>
    <row r="443" spans="5:5" x14ac:dyDescent="0.25">
      <c r="E443"/>
    </row>
    <row r="444" spans="5:5" x14ac:dyDescent="0.25">
      <c r="E444"/>
    </row>
    <row r="445" spans="5:5" x14ac:dyDescent="0.25">
      <c r="E445"/>
    </row>
    <row r="446" spans="5:5" x14ac:dyDescent="0.25">
      <c r="E446"/>
    </row>
    <row r="447" spans="5:5" x14ac:dyDescent="0.25">
      <c r="E447"/>
    </row>
    <row r="448" spans="5:5" x14ac:dyDescent="0.25">
      <c r="E448"/>
    </row>
    <row r="449" spans="5:5" x14ac:dyDescent="0.25">
      <c r="E449"/>
    </row>
    <row r="450" spans="5:5" x14ac:dyDescent="0.25">
      <c r="E450"/>
    </row>
    <row r="451" spans="5:5" x14ac:dyDescent="0.25">
      <c r="E451"/>
    </row>
    <row r="452" spans="5:5" x14ac:dyDescent="0.25">
      <c r="E452"/>
    </row>
    <row r="453" spans="5:5" x14ac:dyDescent="0.25">
      <c r="E453"/>
    </row>
    <row r="454" spans="5:5" x14ac:dyDescent="0.25">
      <c r="E454"/>
    </row>
    <row r="455" spans="5:5" x14ac:dyDescent="0.25">
      <c r="E455"/>
    </row>
    <row r="456" spans="5:5" x14ac:dyDescent="0.25">
      <c r="E456"/>
    </row>
    <row r="457" spans="5:5" x14ac:dyDescent="0.25">
      <c r="E457"/>
    </row>
    <row r="458" spans="5:5" x14ac:dyDescent="0.25">
      <c r="E458"/>
    </row>
    <row r="459" spans="5:5" x14ac:dyDescent="0.25">
      <c r="E459"/>
    </row>
    <row r="460" spans="5:5" x14ac:dyDescent="0.25">
      <c r="E460"/>
    </row>
    <row r="461" spans="5:5" x14ac:dyDescent="0.25">
      <c r="E461"/>
    </row>
    <row r="462" spans="5:5" x14ac:dyDescent="0.25">
      <c r="E462"/>
    </row>
    <row r="463" spans="5:5" x14ac:dyDescent="0.25">
      <c r="E463"/>
    </row>
    <row r="464" spans="5:5" x14ac:dyDescent="0.25">
      <c r="E464"/>
    </row>
    <row r="465" spans="5:5" x14ac:dyDescent="0.25">
      <c r="E465"/>
    </row>
    <row r="466" spans="5:5" x14ac:dyDescent="0.25">
      <c r="E466"/>
    </row>
    <row r="467" spans="5:5" x14ac:dyDescent="0.25">
      <c r="E467"/>
    </row>
    <row r="468" spans="5:5" x14ac:dyDescent="0.25">
      <c r="E468"/>
    </row>
    <row r="469" spans="5:5" x14ac:dyDescent="0.25">
      <c r="E469"/>
    </row>
    <row r="470" spans="5:5" x14ac:dyDescent="0.25">
      <c r="E470"/>
    </row>
    <row r="471" spans="5:5" x14ac:dyDescent="0.25">
      <c r="E471"/>
    </row>
    <row r="472" spans="5:5" x14ac:dyDescent="0.25">
      <c r="E472"/>
    </row>
    <row r="473" spans="5:5" x14ac:dyDescent="0.25">
      <c r="E473"/>
    </row>
    <row r="474" spans="5:5" x14ac:dyDescent="0.25">
      <c r="E474"/>
    </row>
    <row r="475" spans="5:5" x14ac:dyDescent="0.25">
      <c r="E475"/>
    </row>
    <row r="476" spans="5:5" x14ac:dyDescent="0.25">
      <c r="E476"/>
    </row>
    <row r="477" spans="5:5" x14ac:dyDescent="0.25">
      <c r="E477"/>
    </row>
    <row r="478" spans="5:5" x14ac:dyDescent="0.25">
      <c r="E478"/>
    </row>
    <row r="479" spans="5:5" x14ac:dyDescent="0.25">
      <c r="E479"/>
    </row>
    <row r="480" spans="5:5" x14ac:dyDescent="0.25">
      <c r="E480"/>
    </row>
    <row r="481" spans="5:5" x14ac:dyDescent="0.25">
      <c r="E481"/>
    </row>
    <row r="482" spans="5:5" x14ac:dyDescent="0.25">
      <c r="E482"/>
    </row>
    <row r="483" spans="5:5" x14ac:dyDescent="0.25">
      <c r="E483"/>
    </row>
    <row r="484" spans="5:5" x14ac:dyDescent="0.25">
      <c r="E484"/>
    </row>
    <row r="485" spans="5:5" x14ac:dyDescent="0.25">
      <c r="E485"/>
    </row>
    <row r="486" spans="5:5" x14ac:dyDescent="0.25">
      <c r="E486"/>
    </row>
    <row r="487" spans="5:5" x14ac:dyDescent="0.25">
      <c r="E487"/>
    </row>
    <row r="488" spans="5:5" x14ac:dyDescent="0.25">
      <c r="E488"/>
    </row>
    <row r="489" spans="5:5" x14ac:dyDescent="0.25">
      <c r="E489"/>
    </row>
    <row r="490" spans="5:5" x14ac:dyDescent="0.25">
      <c r="E490"/>
    </row>
    <row r="491" spans="5:5" x14ac:dyDescent="0.25">
      <c r="E491"/>
    </row>
    <row r="492" spans="5:5" x14ac:dyDescent="0.25">
      <c r="E492"/>
    </row>
    <row r="493" spans="5:5" x14ac:dyDescent="0.25">
      <c r="E493"/>
    </row>
    <row r="494" spans="5:5" x14ac:dyDescent="0.25">
      <c r="E494"/>
    </row>
    <row r="495" spans="5:5" x14ac:dyDescent="0.25">
      <c r="E495"/>
    </row>
    <row r="496" spans="5:5" x14ac:dyDescent="0.25">
      <c r="E496"/>
    </row>
    <row r="497" spans="5:5" x14ac:dyDescent="0.25">
      <c r="E497"/>
    </row>
    <row r="498" spans="5:5" x14ac:dyDescent="0.25">
      <c r="E498"/>
    </row>
    <row r="499" spans="5:5" x14ac:dyDescent="0.25">
      <c r="E499"/>
    </row>
    <row r="500" spans="5:5" x14ac:dyDescent="0.25">
      <c r="E500"/>
    </row>
    <row r="501" spans="5:5" x14ac:dyDescent="0.25">
      <c r="E501"/>
    </row>
    <row r="502" spans="5:5" x14ac:dyDescent="0.25">
      <c r="E502"/>
    </row>
    <row r="503" spans="5:5" x14ac:dyDescent="0.25">
      <c r="E503"/>
    </row>
    <row r="504" spans="5:5" x14ac:dyDescent="0.25">
      <c r="E504"/>
    </row>
    <row r="505" spans="5:5" x14ac:dyDescent="0.25">
      <c r="E505"/>
    </row>
    <row r="506" spans="5:5" x14ac:dyDescent="0.25">
      <c r="E506"/>
    </row>
    <row r="507" spans="5:5" x14ac:dyDescent="0.25">
      <c r="E507"/>
    </row>
    <row r="508" spans="5:5" x14ac:dyDescent="0.25">
      <c r="E508"/>
    </row>
    <row r="509" spans="5:5" x14ac:dyDescent="0.25">
      <c r="E509"/>
    </row>
    <row r="510" spans="5:5" x14ac:dyDescent="0.25">
      <c r="E510"/>
    </row>
    <row r="511" spans="5:5" x14ac:dyDescent="0.25">
      <c r="E511"/>
    </row>
    <row r="512" spans="5:5" x14ac:dyDescent="0.25">
      <c r="E512"/>
    </row>
    <row r="513" spans="5:5" x14ac:dyDescent="0.25">
      <c r="E513"/>
    </row>
    <row r="514" spans="5:5" x14ac:dyDescent="0.25">
      <c r="E514"/>
    </row>
    <row r="515" spans="5:5" x14ac:dyDescent="0.25">
      <c r="E515"/>
    </row>
    <row r="516" spans="5:5" x14ac:dyDescent="0.25">
      <c r="E516"/>
    </row>
    <row r="517" spans="5:5" x14ac:dyDescent="0.25">
      <c r="E517"/>
    </row>
    <row r="518" spans="5:5" x14ac:dyDescent="0.25">
      <c r="E518"/>
    </row>
    <row r="519" spans="5:5" x14ac:dyDescent="0.25">
      <c r="E519"/>
    </row>
    <row r="520" spans="5:5" x14ac:dyDescent="0.25">
      <c r="E520"/>
    </row>
    <row r="521" spans="5:5" x14ac:dyDescent="0.25">
      <c r="E521"/>
    </row>
    <row r="522" spans="5:5" x14ac:dyDescent="0.25">
      <c r="E522"/>
    </row>
    <row r="523" spans="5:5" x14ac:dyDescent="0.25">
      <c r="E523"/>
    </row>
    <row r="524" spans="5:5" x14ac:dyDescent="0.25">
      <c r="E524"/>
    </row>
    <row r="525" spans="5:5" x14ac:dyDescent="0.25">
      <c r="E525"/>
    </row>
    <row r="526" spans="5:5" x14ac:dyDescent="0.25">
      <c r="E526"/>
    </row>
    <row r="527" spans="5:5" x14ac:dyDescent="0.25">
      <c r="E527"/>
    </row>
    <row r="528" spans="5:5" x14ac:dyDescent="0.25">
      <c r="E528"/>
    </row>
    <row r="529" spans="5:5" x14ac:dyDescent="0.25">
      <c r="E529"/>
    </row>
    <row r="530" spans="5:5" x14ac:dyDescent="0.25">
      <c r="E530"/>
    </row>
    <row r="531" spans="5:5" x14ac:dyDescent="0.25">
      <c r="E531"/>
    </row>
    <row r="532" spans="5:5" x14ac:dyDescent="0.25">
      <c r="E532"/>
    </row>
    <row r="533" spans="5:5" x14ac:dyDescent="0.25">
      <c r="E533"/>
    </row>
    <row r="534" spans="5:5" x14ac:dyDescent="0.25">
      <c r="E534"/>
    </row>
    <row r="535" spans="5:5" x14ac:dyDescent="0.25">
      <c r="E535"/>
    </row>
    <row r="536" spans="5:5" x14ac:dyDescent="0.25">
      <c r="E536"/>
    </row>
    <row r="537" spans="5:5" x14ac:dyDescent="0.25">
      <c r="E537"/>
    </row>
    <row r="538" spans="5:5" x14ac:dyDescent="0.25">
      <c r="E538"/>
    </row>
    <row r="539" spans="5:5" x14ac:dyDescent="0.25">
      <c r="E539"/>
    </row>
    <row r="540" spans="5:5" x14ac:dyDescent="0.25">
      <c r="E540"/>
    </row>
    <row r="541" spans="5:5" x14ac:dyDescent="0.25">
      <c r="E541"/>
    </row>
    <row r="542" spans="5:5" x14ac:dyDescent="0.25">
      <c r="E542"/>
    </row>
    <row r="543" spans="5:5" x14ac:dyDescent="0.25">
      <c r="E543"/>
    </row>
    <row r="544" spans="5:5" x14ac:dyDescent="0.25">
      <c r="E544"/>
    </row>
    <row r="545" spans="5:5" x14ac:dyDescent="0.25">
      <c r="E545"/>
    </row>
    <row r="546" spans="5:5" x14ac:dyDescent="0.25">
      <c r="E546"/>
    </row>
    <row r="547" spans="5:5" x14ac:dyDescent="0.25">
      <c r="E547"/>
    </row>
    <row r="548" spans="5:5" x14ac:dyDescent="0.25">
      <c r="E548"/>
    </row>
    <row r="549" spans="5:5" x14ac:dyDescent="0.25">
      <c r="E549"/>
    </row>
    <row r="550" spans="5:5" x14ac:dyDescent="0.25">
      <c r="E550"/>
    </row>
    <row r="551" spans="5:5" x14ac:dyDescent="0.25">
      <c r="E551"/>
    </row>
    <row r="552" spans="5:5" x14ac:dyDescent="0.25">
      <c r="E552"/>
    </row>
    <row r="553" spans="5:5" x14ac:dyDescent="0.25">
      <c r="E553"/>
    </row>
    <row r="554" spans="5:5" x14ac:dyDescent="0.25">
      <c r="E554"/>
    </row>
    <row r="555" spans="5:5" x14ac:dyDescent="0.25">
      <c r="E555"/>
    </row>
    <row r="556" spans="5:5" x14ac:dyDescent="0.25">
      <c r="E556"/>
    </row>
    <row r="557" spans="5:5" x14ac:dyDescent="0.25">
      <c r="E557"/>
    </row>
    <row r="558" spans="5:5" x14ac:dyDescent="0.25">
      <c r="E558"/>
    </row>
    <row r="559" spans="5:5" x14ac:dyDescent="0.25">
      <c r="E559"/>
    </row>
    <row r="560" spans="5:5" x14ac:dyDescent="0.25">
      <c r="E560"/>
    </row>
    <row r="561" spans="5:5" x14ac:dyDescent="0.25">
      <c r="E561"/>
    </row>
    <row r="562" spans="5:5" x14ac:dyDescent="0.25">
      <c r="E562"/>
    </row>
    <row r="563" spans="5:5" x14ac:dyDescent="0.25">
      <c r="E563"/>
    </row>
    <row r="564" spans="5:5" x14ac:dyDescent="0.25">
      <c r="E564"/>
    </row>
    <row r="565" spans="5:5" x14ac:dyDescent="0.25">
      <c r="E565"/>
    </row>
    <row r="566" spans="5:5" x14ac:dyDescent="0.25">
      <c r="E566"/>
    </row>
    <row r="567" spans="5:5" x14ac:dyDescent="0.25">
      <c r="E567"/>
    </row>
    <row r="568" spans="5:5" x14ac:dyDescent="0.25">
      <c r="E568"/>
    </row>
    <row r="569" spans="5:5" x14ac:dyDescent="0.25">
      <c r="E569"/>
    </row>
    <row r="570" spans="5:5" x14ac:dyDescent="0.25">
      <c r="E570"/>
    </row>
    <row r="571" spans="5:5" x14ac:dyDescent="0.25">
      <c r="E571"/>
    </row>
    <row r="572" spans="5:5" x14ac:dyDescent="0.25">
      <c r="E572"/>
    </row>
    <row r="573" spans="5:5" x14ac:dyDescent="0.25">
      <c r="E573"/>
    </row>
    <row r="574" spans="5:5" x14ac:dyDescent="0.25">
      <c r="E574"/>
    </row>
    <row r="575" spans="5:5" x14ac:dyDescent="0.25">
      <c r="E575"/>
    </row>
    <row r="576" spans="5:5" x14ac:dyDescent="0.25">
      <c r="E576"/>
    </row>
    <row r="577" spans="5:5" x14ac:dyDescent="0.25">
      <c r="E577"/>
    </row>
    <row r="578" spans="5:5" x14ac:dyDescent="0.25">
      <c r="E578"/>
    </row>
    <row r="579" spans="5:5" x14ac:dyDescent="0.25">
      <c r="E579"/>
    </row>
    <row r="580" spans="5:5" x14ac:dyDescent="0.25">
      <c r="E580"/>
    </row>
    <row r="581" spans="5:5" x14ac:dyDescent="0.25">
      <c r="E581"/>
    </row>
    <row r="582" spans="5:5" x14ac:dyDescent="0.25">
      <c r="E582"/>
    </row>
    <row r="583" spans="5:5" x14ac:dyDescent="0.25">
      <c r="E583"/>
    </row>
    <row r="584" spans="5:5" x14ac:dyDescent="0.25">
      <c r="E584"/>
    </row>
    <row r="585" spans="5:5" x14ac:dyDescent="0.25">
      <c r="E585"/>
    </row>
    <row r="586" spans="5:5" x14ac:dyDescent="0.25">
      <c r="E586"/>
    </row>
    <row r="587" spans="5:5" x14ac:dyDescent="0.25">
      <c r="E587"/>
    </row>
    <row r="588" spans="5:5" x14ac:dyDescent="0.25">
      <c r="E588"/>
    </row>
    <row r="589" spans="5:5" x14ac:dyDescent="0.25">
      <c r="E589"/>
    </row>
    <row r="590" spans="5:5" x14ac:dyDescent="0.25">
      <c r="E590"/>
    </row>
    <row r="591" spans="5:5" x14ac:dyDescent="0.25">
      <c r="E591"/>
    </row>
    <row r="592" spans="5:5" x14ac:dyDescent="0.25">
      <c r="E592"/>
    </row>
    <row r="593" spans="5:5" x14ac:dyDescent="0.25">
      <c r="E593"/>
    </row>
    <row r="594" spans="5:5" x14ac:dyDescent="0.25">
      <c r="E594"/>
    </row>
    <row r="595" spans="5:5" x14ac:dyDescent="0.25">
      <c r="E595"/>
    </row>
    <row r="596" spans="5:5" x14ac:dyDescent="0.25">
      <c r="E596"/>
    </row>
    <row r="597" spans="5:5" x14ac:dyDescent="0.25">
      <c r="E597"/>
    </row>
    <row r="598" spans="5:5" x14ac:dyDescent="0.25">
      <c r="E598"/>
    </row>
    <row r="599" spans="5:5" x14ac:dyDescent="0.25">
      <c r="E599"/>
    </row>
    <row r="600" spans="5:5" x14ac:dyDescent="0.25">
      <c r="E600"/>
    </row>
    <row r="601" spans="5:5" x14ac:dyDescent="0.25">
      <c r="E601"/>
    </row>
    <row r="602" spans="5:5" x14ac:dyDescent="0.25">
      <c r="E602"/>
    </row>
    <row r="603" spans="5:5" x14ac:dyDescent="0.25">
      <c r="E603"/>
    </row>
    <row r="604" spans="5:5" x14ac:dyDescent="0.25">
      <c r="E604"/>
    </row>
    <row r="605" spans="5:5" x14ac:dyDescent="0.25">
      <c r="E605"/>
    </row>
    <row r="606" spans="5:5" x14ac:dyDescent="0.25">
      <c r="E606"/>
    </row>
    <row r="607" spans="5:5" x14ac:dyDescent="0.25">
      <c r="E607"/>
    </row>
    <row r="608" spans="5:5" x14ac:dyDescent="0.25">
      <c r="E608"/>
    </row>
    <row r="609" spans="5:5" x14ac:dyDescent="0.25">
      <c r="E609"/>
    </row>
    <row r="610" spans="5:5" x14ac:dyDescent="0.25">
      <c r="E610"/>
    </row>
    <row r="611" spans="5:5" x14ac:dyDescent="0.25">
      <c r="E611"/>
    </row>
    <row r="612" spans="5:5" x14ac:dyDescent="0.25">
      <c r="E612"/>
    </row>
    <row r="613" spans="5:5" x14ac:dyDescent="0.25">
      <c r="E613"/>
    </row>
    <row r="614" spans="5:5" x14ac:dyDescent="0.25">
      <c r="E614"/>
    </row>
    <row r="615" spans="5:5" x14ac:dyDescent="0.25">
      <c r="E615"/>
    </row>
    <row r="616" spans="5:5" x14ac:dyDescent="0.25">
      <c r="E616"/>
    </row>
    <row r="617" spans="5:5" x14ac:dyDescent="0.25">
      <c r="E617"/>
    </row>
    <row r="618" spans="5:5" x14ac:dyDescent="0.25">
      <c r="E618"/>
    </row>
    <row r="619" spans="5:5" x14ac:dyDescent="0.25">
      <c r="E619"/>
    </row>
    <row r="620" spans="5:5" x14ac:dyDescent="0.25">
      <c r="E620"/>
    </row>
    <row r="621" spans="5:5" x14ac:dyDescent="0.25">
      <c r="E621"/>
    </row>
    <row r="622" spans="5:5" x14ac:dyDescent="0.25">
      <c r="E622"/>
    </row>
    <row r="623" spans="5:5" x14ac:dyDescent="0.25">
      <c r="E623"/>
    </row>
    <row r="624" spans="5:5" x14ac:dyDescent="0.25">
      <c r="E624"/>
    </row>
    <row r="625" spans="5:5" x14ac:dyDescent="0.25">
      <c r="E625"/>
    </row>
    <row r="626" spans="5:5" x14ac:dyDescent="0.25">
      <c r="E626"/>
    </row>
    <row r="627" spans="5:5" x14ac:dyDescent="0.25">
      <c r="E627"/>
    </row>
    <row r="628" spans="5:5" x14ac:dyDescent="0.25">
      <c r="E628"/>
    </row>
    <row r="629" spans="5:5" x14ac:dyDescent="0.25">
      <c r="E629"/>
    </row>
    <row r="630" spans="5:5" x14ac:dyDescent="0.25">
      <c r="E630"/>
    </row>
    <row r="631" spans="5:5" x14ac:dyDescent="0.25">
      <c r="E631"/>
    </row>
    <row r="632" spans="5:5" x14ac:dyDescent="0.25">
      <c r="E632"/>
    </row>
    <row r="633" spans="5:5" x14ac:dyDescent="0.25">
      <c r="E633"/>
    </row>
    <row r="634" spans="5:5" x14ac:dyDescent="0.25">
      <c r="E634"/>
    </row>
    <row r="635" spans="5:5" x14ac:dyDescent="0.25">
      <c r="E635"/>
    </row>
    <row r="636" spans="5:5" x14ac:dyDescent="0.25">
      <c r="E636"/>
    </row>
    <row r="637" spans="5:5" x14ac:dyDescent="0.25">
      <c r="E637"/>
    </row>
    <row r="638" spans="5:5" x14ac:dyDescent="0.25">
      <c r="E638"/>
    </row>
    <row r="639" spans="5:5" x14ac:dyDescent="0.25">
      <c r="E639"/>
    </row>
    <row r="640" spans="5:5" x14ac:dyDescent="0.25">
      <c r="E640"/>
    </row>
    <row r="641" spans="5:5" x14ac:dyDescent="0.25">
      <c r="E641"/>
    </row>
    <row r="642" spans="5:5" x14ac:dyDescent="0.25">
      <c r="E642"/>
    </row>
    <row r="643" spans="5:5" x14ac:dyDescent="0.25">
      <c r="E643"/>
    </row>
    <row r="644" spans="5:5" x14ac:dyDescent="0.25">
      <c r="E644"/>
    </row>
    <row r="645" spans="5:5" x14ac:dyDescent="0.25">
      <c r="E645"/>
    </row>
    <row r="646" spans="5:5" x14ac:dyDescent="0.25">
      <c r="E646"/>
    </row>
    <row r="647" spans="5:5" x14ac:dyDescent="0.25">
      <c r="E647"/>
    </row>
    <row r="648" spans="5:5" x14ac:dyDescent="0.25">
      <c r="E648"/>
    </row>
    <row r="649" spans="5:5" x14ac:dyDescent="0.25">
      <c r="E649"/>
    </row>
    <row r="650" spans="5:5" x14ac:dyDescent="0.25">
      <c r="E650"/>
    </row>
    <row r="651" spans="5:5" x14ac:dyDescent="0.25">
      <c r="E651"/>
    </row>
    <row r="652" spans="5:5" x14ac:dyDescent="0.25">
      <c r="E652"/>
    </row>
    <row r="653" spans="5:5" x14ac:dyDescent="0.25">
      <c r="E653"/>
    </row>
    <row r="654" spans="5:5" x14ac:dyDescent="0.25">
      <c r="E654"/>
    </row>
    <row r="655" spans="5:5" x14ac:dyDescent="0.25">
      <c r="E655"/>
    </row>
    <row r="656" spans="5:5" x14ac:dyDescent="0.25">
      <c r="E656"/>
    </row>
    <row r="657" spans="5:5" x14ac:dyDescent="0.25">
      <c r="E657"/>
    </row>
    <row r="658" spans="5:5" x14ac:dyDescent="0.25">
      <c r="E658"/>
    </row>
    <row r="659" spans="5:5" x14ac:dyDescent="0.25">
      <c r="E659"/>
    </row>
    <row r="660" spans="5:5" x14ac:dyDescent="0.25">
      <c r="E660"/>
    </row>
    <row r="661" spans="5:5" x14ac:dyDescent="0.25">
      <c r="E661"/>
    </row>
    <row r="662" spans="5:5" x14ac:dyDescent="0.25">
      <c r="E662"/>
    </row>
    <row r="663" spans="5:5" x14ac:dyDescent="0.25">
      <c r="E663"/>
    </row>
    <row r="664" spans="5:5" x14ac:dyDescent="0.25">
      <c r="E664"/>
    </row>
    <row r="665" spans="5:5" x14ac:dyDescent="0.25">
      <c r="E665"/>
    </row>
    <row r="666" spans="5:5" x14ac:dyDescent="0.25">
      <c r="E666"/>
    </row>
    <row r="667" spans="5:5" x14ac:dyDescent="0.25">
      <c r="E667"/>
    </row>
    <row r="668" spans="5:5" x14ac:dyDescent="0.25">
      <c r="E668"/>
    </row>
    <row r="669" spans="5:5" x14ac:dyDescent="0.25">
      <c r="E669"/>
    </row>
    <row r="670" spans="5:5" x14ac:dyDescent="0.25">
      <c r="E670"/>
    </row>
    <row r="671" spans="5:5" x14ac:dyDescent="0.25">
      <c r="E671"/>
    </row>
    <row r="672" spans="5:5" x14ac:dyDescent="0.25">
      <c r="E672"/>
    </row>
    <row r="673" spans="5:5" x14ac:dyDescent="0.25">
      <c r="E673"/>
    </row>
    <row r="674" spans="5:5" x14ac:dyDescent="0.25">
      <c r="E674"/>
    </row>
    <row r="675" spans="5:5" x14ac:dyDescent="0.25">
      <c r="E675"/>
    </row>
    <row r="676" spans="5:5" x14ac:dyDescent="0.25">
      <c r="E676"/>
    </row>
    <row r="677" spans="5:5" x14ac:dyDescent="0.25">
      <c r="E677"/>
    </row>
    <row r="678" spans="5:5" x14ac:dyDescent="0.25">
      <c r="E678"/>
    </row>
    <row r="679" spans="5:5" x14ac:dyDescent="0.25">
      <c r="E679"/>
    </row>
    <row r="680" spans="5:5" x14ac:dyDescent="0.25">
      <c r="E680"/>
    </row>
    <row r="681" spans="5:5" x14ac:dyDescent="0.25">
      <c r="E681"/>
    </row>
    <row r="682" spans="5:5" x14ac:dyDescent="0.25">
      <c r="E682"/>
    </row>
    <row r="683" spans="5:5" x14ac:dyDescent="0.25">
      <c r="E683"/>
    </row>
    <row r="684" spans="5:5" x14ac:dyDescent="0.25">
      <c r="E684"/>
    </row>
    <row r="685" spans="5:5" x14ac:dyDescent="0.25">
      <c r="E685"/>
    </row>
    <row r="686" spans="5:5" x14ac:dyDescent="0.25">
      <c r="E686"/>
    </row>
    <row r="687" spans="5:5" x14ac:dyDescent="0.25">
      <c r="E687"/>
    </row>
    <row r="688" spans="5:5" x14ac:dyDescent="0.25">
      <c r="E688"/>
    </row>
    <row r="689" spans="5:5" x14ac:dyDescent="0.25">
      <c r="E689"/>
    </row>
    <row r="690" spans="5:5" x14ac:dyDescent="0.25">
      <c r="E690"/>
    </row>
    <row r="691" spans="5:5" x14ac:dyDescent="0.25">
      <c r="E691"/>
    </row>
    <row r="692" spans="5:5" x14ac:dyDescent="0.25">
      <c r="E692"/>
    </row>
    <row r="693" spans="5:5" x14ac:dyDescent="0.25">
      <c r="E693"/>
    </row>
    <row r="694" spans="5:5" x14ac:dyDescent="0.25">
      <c r="E694"/>
    </row>
    <row r="695" spans="5:5" x14ac:dyDescent="0.25">
      <c r="E695"/>
    </row>
    <row r="696" spans="5:5" x14ac:dyDescent="0.25">
      <c r="E696"/>
    </row>
    <row r="697" spans="5:5" x14ac:dyDescent="0.25">
      <c r="E697"/>
    </row>
    <row r="698" spans="5:5" x14ac:dyDescent="0.25">
      <c r="E698"/>
    </row>
    <row r="699" spans="5:5" x14ac:dyDescent="0.25">
      <c r="E699"/>
    </row>
    <row r="700" spans="5:5" x14ac:dyDescent="0.25">
      <c r="E700"/>
    </row>
    <row r="701" spans="5:5" x14ac:dyDescent="0.25">
      <c r="E701"/>
    </row>
    <row r="702" spans="5:5" x14ac:dyDescent="0.25">
      <c r="E702"/>
    </row>
    <row r="703" spans="5:5" x14ac:dyDescent="0.25">
      <c r="E703"/>
    </row>
    <row r="704" spans="5:5" x14ac:dyDescent="0.25">
      <c r="E704"/>
    </row>
    <row r="705" spans="5:5" x14ac:dyDescent="0.25">
      <c r="E705"/>
    </row>
    <row r="706" spans="5:5" x14ac:dyDescent="0.25">
      <c r="E706"/>
    </row>
    <row r="707" spans="5:5" x14ac:dyDescent="0.25">
      <c r="E707"/>
    </row>
    <row r="708" spans="5:5" x14ac:dyDescent="0.25">
      <c r="E708"/>
    </row>
    <row r="709" spans="5:5" x14ac:dyDescent="0.25">
      <c r="E709"/>
    </row>
    <row r="710" spans="5:5" x14ac:dyDescent="0.25">
      <c r="E710"/>
    </row>
    <row r="711" spans="5:5" x14ac:dyDescent="0.25">
      <c r="E711"/>
    </row>
    <row r="712" spans="5:5" x14ac:dyDescent="0.25">
      <c r="E712"/>
    </row>
    <row r="713" spans="5:5" x14ac:dyDescent="0.25">
      <c r="E713"/>
    </row>
    <row r="714" spans="5:5" x14ac:dyDescent="0.25">
      <c r="E714"/>
    </row>
    <row r="715" spans="5:5" x14ac:dyDescent="0.25">
      <c r="E715"/>
    </row>
    <row r="716" spans="5:5" x14ac:dyDescent="0.25">
      <c r="E716"/>
    </row>
    <row r="717" spans="5:5" x14ac:dyDescent="0.25">
      <c r="E717"/>
    </row>
    <row r="718" spans="5:5" x14ac:dyDescent="0.25">
      <c r="E718"/>
    </row>
    <row r="719" spans="5:5" x14ac:dyDescent="0.25">
      <c r="E719"/>
    </row>
    <row r="720" spans="5:5" x14ac:dyDescent="0.25">
      <c r="E720"/>
    </row>
    <row r="721" spans="5:5" x14ac:dyDescent="0.25">
      <c r="E721"/>
    </row>
    <row r="722" spans="5:5" x14ac:dyDescent="0.25">
      <c r="E722"/>
    </row>
    <row r="723" spans="5:5" x14ac:dyDescent="0.25">
      <c r="E723"/>
    </row>
    <row r="724" spans="5:5" x14ac:dyDescent="0.25">
      <c r="E724"/>
    </row>
    <row r="725" spans="5:5" x14ac:dyDescent="0.25">
      <c r="E725"/>
    </row>
    <row r="726" spans="5:5" x14ac:dyDescent="0.25">
      <c r="E726"/>
    </row>
    <row r="727" spans="5:5" x14ac:dyDescent="0.25">
      <c r="E727"/>
    </row>
    <row r="728" spans="5:5" x14ac:dyDescent="0.25">
      <c r="E728"/>
    </row>
    <row r="729" spans="5:5" x14ac:dyDescent="0.25">
      <c r="E729"/>
    </row>
    <row r="730" spans="5:5" x14ac:dyDescent="0.25">
      <c r="E730"/>
    </row>
    <row r="731" spans="5:5" x14ac:dyDescent="0.25">
      <c r="E731"/>
    </row>
    <row r="732" spans="5:5" x14ac:dyDescent="0.25">
      <c r="E732"/>
    </row>
    <row r="733" spans="5:5" x14ac:dyDescent="0.25">
      <c r="E733"/>
    </row>
    <row r="734" spans="5:5" x14ac:dyDescent="0.25">
      <c r="E734"/>
    </row>
    <row r="735" spans="5:5" x14ac:dyDescent="0.25">
      <c r="E735"/>
    </row>
    <row r="736" spans="5:5" x14ac:dyDescent="0.25">
      <c r="E736"/>
    </row>
    <row r="737" spans="5:5" x14ac:dyDescent="0.25">
      <c r="E737"/>
    </row>
    <row r="738" spans="5:5" x14ac:dyDescent="0.25">
      <c r="E738"/>
    </row>
    <row r="739" spans="5:5" x14ac:dyDescent="0.25">
      <c r="E739"/>
    </row>
    <row r="740" spans="5:5" x14ac:dyDescent="0.25">
      <c r="E740"/>
    </row>
    <row r="741" spans="5:5" x14ac:dyDescent="0.25">
      <c r="E741"/>
    </row>
    <row r="742" spans="5:5" x14ac:dyDescent="0.25">
      <c r="E742"/>
    </row>
    <row r="743" spans="5:5" x14ac:dyDescent="0.25">
      <c r="E743"/>
    </row>
    <row r="744" spans="5:5" x14ac:dyDescent="0.25">
      <c r="E744"/>
    </row>
    <row r="745" spans="5:5" x14ac:dyDescent="0.25">
      <c r="E745"/>
    </row>
    <row r="746" spans="5:5" x14ac:dyDescent="0.25">
      <c r="E746"/>
    </row>
    <row r="747" spans="5:5" x14ac:dyDescent="0.25">
      <c r="E747"/>
    </row>
    <row r="748" spans="5:5" x14ac:dyDescent="0.25">
      <c r="E748"/>
    </row>
    <row r="749" spans="5:5" x14ac:dyDescent="0.25">
      <c r="E749"/>
    </row>
    <row r="750" spans="5:5" x14ac:dyDescent="0.25">
      <c r="E750"/>
    </row>
    <row r="751" spans="5:5" x14ac:dyDescent="0.25">
      <c r="E751"/>
    </row>
    <row r="752" spans="5:5" x14ac:dyDescent="0.25">
      <c r="E752"/>
    </row>
    <row r="753" spans="5:5" x14ac:dyDescent="0.25">
      <c r="E753"/>
    </row>
    <row r="754" spans="5:5" x14ac:dyDescent="0.25">
      <c r="E754"/>
    </row>
    <row r="755" spans="5:5" x14ac:dyDescent="0.25">
      <c r="E755"/>
    </row>
    <row r="756" spans="5:5" x14ac:dyDescent="0.25">
      <c r="E756"/>
    </row>
    <row r="757" spans="5:5" x14ac:dyDescent="0.25">
      <c r="E757"/>
    </row>
    <row r="758" spans="5:5" x14ac:dyDescent="0.25">
      <c r="E758"/>
    </row>
    <row r="759" spans="5:5" x14ac:dyDescent="0.25">
      <c r="E759"/>
    </row>
    <row r="760" spans="5:5" x14ac:dyDescent="0.25">
      <c r="E760"/>
    </row>
    <row r="761" spans="5:5" x14ac:dyDescent="0.25">
      <c r="E761"/>
    </row>
    <row r="762" spans="5:5" x14ac:dyDescent="0.25">
      <c r="E762"/>
    </row>
    <row r="763" spans="5:5" x14ac:dyDescent="0.25">
      <c r="E763"/>
    </row>
    <row r="764" spans="5:5" x14ac:dyDescent="0.25">
      <c r="E764"/>
    </row>
    <row r="765" spans="5:5" x14ac:dyDescent="0.25">
      <c r="E765"/>
    </row>
    <row r="766" spans="5:5" x14ac:dyDescent="0.25">
      <c r="E766"/>
    </row>
    <row r="767" spans="5:5" x14ac:dyDescent="0.25">
      <c r="E767"/>
    </row>
    <row r="768" spans="5:5" x14ac:dyDescent="0.25">
      <c r="E768"/>
    </row>
    <row r="769" spans="5:5" x14ac:dyDescent="0.25">
      <c r="E769"/>
    </row>
    <row r="770" spans="5:5" x14ac:dyDescent="0.25">
      <c r="E770"/>
    </row>
    <row r="771" spans="5:5" x14ac:dyDescent="0.25">
      <c r="E771"/>
    </row>
    <row r="772" spans="5:5" x14ac:dyDescent="0.25">
      <c r="E772"/>
    </row>
    <row r="773" spans="5:5" x14ac:dyDescent="0.25">
      <c r="E773"/>
    </row>
    <row r="774" spans="5:5" x14ac:dyDescent="0.25">
      <c r="E774"/>
    </row>
    <row r="775" spans="5:5" x14ac:dyDescent="0.25">
      <c r="E775"/>
    </row>
    <row r="776" spans="5:5" x14ac:dyDescent="0.25">
      <c r="E776"/>
    </row>
    <row r="777" spans="5:5" x14ac:dyDescent="0.25">
      <c r="E777"/>
    </row>
    <row r="778" spans="5:5" x14ac:dyDescent="0.25">
      <c r="E778"/>
    </row>
    <row r="779" spans="5:5" x14ac:dyDescent="0.25">
      <c r="E779"/>
    </row>
    <row r="780" spans="5:5" x14ac:dyDescent="0.25">
      <c r="E780"/>
    </row>
    <row r="781" spans="5:5" x14ac:dyDescent="0.25">
      <c r="E781"/>
    </row>
    <row r="782" spans="5:5" x14ac:dyDescent="0.25">
      <c r="E782"/>
    </row>
    <row r="783" spans="5:5" x14ac:dyDescent="0.25">
      <c r="E783"/>
    </row>
    <row r="784" spans="5:5" x14ac:dyDescent="0.25">
      <c r="E784"/>
    </row>
    <row r="785" spans="5:5" x14ac:dyDescent="0.25">
      <c r="E785"/>
    </row>
    <row r="786" spans="5:5" x14ac:dyDescent="0.25">
      <c r="E786"/>
    </row>
    <row r="787" spans="5:5" x14ac:dyDescent="0.25">
      <c r="E787"/>
    </row>
    <row r="788" spans="5:5" x14ac:dyDescent="0.25">
      <c r="E788"/>
    </row>
    <row r="789" spans="5:5" x14ac:dyDescent="0.25">
      <c r="E789"/>
    </row>
    <row r="790" spans="5:5" x14ac:dyDescent="0.25">
      <c r="E790"/>
    </row>
    <row r="791" spans="5:5" x14ac:dyDescent="0.25">
      <c r="E791"/>
    </row>
    <row r="792" spans="5:5" x14ac:dyDescent="0.25">
      <c r="E792"/>
    </row>
    <row r="793" spans="5:5" x14ac:dyDescent="0.25">
      <c r="E793"/>
    </row>
    <row r="794" spans="5:5" x14ac:dyDescent="0.25">
      <c r="E794"/>
    </row>
    <row r="795" spans="5:5" x14ac:dyDescent="0.25">
      <c r="E795"/>
    </row>
    <row r="796" spans="5:5" x14ac:dyDescent="0.25">
      <c r="E796"/>
    </row>
    <row r="797" spans="5:5" x14ac:dyDescent="0.25">
      <c r="E797"/>
    </row>
    <row r="798" spans="5:5" x14ac:dyDescent="0.25">
      <c r="E798"/>
    </row>
    <row r="799" spans="5:5" x14ac:dyDescent="0.25">
      <c r="E799"/>
    </row>
    <row r="800" spans="5:5" x14ac:dyDescent="0.25">
      <c r="E800"/>
    </row>
    <row r="801" spans="5:5" x14ac:dyDescent="0.25">
      <c r="E801"/>
    </row>
    <row r="802" spans="5:5" x14ac:dyDescent="0.25">
      <c r="E802"/>
    </row>
    <row r="803" spans="5:5" x14ac:dyDescent="0.25">
      <c r="E803"/>
    </row>
    <row r="804" spans="5:5" x14ac:dyDescent="0.25">
      <c r="E804"/>
    </row>
    <row r="805" spans="5:5" x14ac:dyDescent="0.25">
      <c r="E805"/>
    </row>
    <row r="806" spans="5:5" x14ac:dyDescent="0.25">
      <c r="E806"/>
    </row>
    <row r="807" spans="5:5" x14ac:dyDescent="0.25">
      <c r="E807"/>
    </row>
    <row r="808" spans="5:5" x14ac:dyDescent="0.25">
      <c r="E808"/>
    </row>
    <row r="809" spans="5:5" x14ac:dyDescent="0.25">
      <c r="E809"/>
    </row>
    <row r="810" spans="5:5" x14ac:dyDescent="0.25">
      <c r="E810"/>
    </row>
    <row r="811" spans="5:5" x14ac:dyDescent="0.25">
      <c r="E811"/>
    </row>
    <row r="812" spans="5:5" x14ac:dyDescent="0.25">
      <c r="E812"/>
    </row>
    <row r="813" spans="5:5" x14ac:dyDescent="0.25">
      <c r="E813"/>
    </row>
    <row r="814" spans="5:5" x14ac:dyDescent="0.25">
      <c r="E814"/>
    </row>
    <row r="815" spans="5:5" x14ac:dyDescent="0.25">
      <c r="E815"/>
    </row>
    <row r="816" spans="5:5" x14ac:dyDescent="0.25">
      <c r="E816"/>
    </row>
    <row r="817" spans="5:5" x14ac:dyDescent="0.25">
      <c r="E817"/>
    </row>
    <row r="818" spans="5:5" x14ac:dyDescent="0.25">
      <c r="E818"/>
    </row>
    <row r="819" spans="5:5" x14ac:dyDescent="0.25">
      <c r="E819"/>
    </row>
    <row r="820" spans="5:5" x14ac:dyDescent="0.25">
      <c r="E820"/>
    </row>
    <row r="821" spans="5:5" x14ac:dyDescent="0.25">
      <c r="E821"/>
    </row>
    <row r="822" spans="5:5" x14ac:dyDescent="0.25">
      <c r="E822"/>
    </row>
    <row r="823" spans="5:5" x14ac:dyDescent="0.25">
      <c r="E823"/>
    </row>
    <row r="824" spans="5:5" x14ac:dyDescent="0.25">
      <c r="E824"/>
    </row>
    <row r="825" spans="5:5" x14ac:dyDescent="0.25">
      <c r="E825"/>
    </row>
    <row r="826" spans="5:5" x14ac:dyDescent="0.25">
      <c r="E826"/>
    </row>
    <row r="827" spans="5:5" x14ac:dyDescent="0.25">
      <c r="E827"/>
    </row>
    <row r="828" spans="5:5" x14ac:dyDescent="0.25">
      <c r="E828"/>
    </row>
    <row r="829" spans="5:5" x14ac:dyDescent="0.25">
      <c r="E829"/>
    </row>
    <row r="830" spans="5:5" x14ac:dyDescent="0.25">
      <c r="E830"/>
    </row>
    <row r="831" spans="5:5" x14ac:dyDescent="0.25">
      <c r="E831"/>
    </row>
    <row r="832" spans="5:5" x14ac:dyDescent="0.25">
      <c r="E832"/>
    </row>
    <row r="833" spans="5:5" x14ac:dyDescent="0.25">
      <c r="E833"/>
    </row>
    <row r="834" spans="5:5" x14ac:dyDescent="0.25">
      <c r="E834"/>
    </row>
    <row r="835" spans="5:5" x14ac:dyDescent="0.25">
      <c r="E835"/>
    </row>
    <row r="836" spans="5:5" x14ac:dyDescent="0.25">
      <c r="E836"/>
    </row>
    <row r="837" spans="5:5" x14ac:dyDescent="0.25">
      <c r="E837"/>
    </row>
    <row r="838" spans="5:5" x14ac:dyDescent="0.25">
      <c r="E838"/>
    </row>
    <row r="839" spans="5:5" x14ac:dyDescent="0.25">
      <c r="E839"/>
    </row>
    <row r="840" spans="5:5" x14ac:dyDescent="0.25">
      <c r="E840"/>
    </row>
    <row r="841" spans="5:5" x14ac:dyDescent="0.25">
      <c r="E841"/>
    </row>
    <row r="842" spans="5:5" x14ac:dyDescent="0.25">
      <c r="E842"/>
    </row>
    <row r="843" spans="5:5" x14ac:dyDescent="0.25">
      <c r="E843"/>
    </row>
    <row r="844" spans="5:5" x14ac:dyDescent="0.25">
      <c r="E844"/>
    </row>
    <row r="845" spans="5:5" x14ac:dyDescent="0.25">
      <c r="E845"/>
    </row>
    <row r="846" spans="5:5" x14ac:dyDescent="0.25">
      <c r="E846"/>
    </row>
    <row r="847" spans="5:5" x14ac:dyDescent="0.25">
      <c r="E847"/>
    </row>
    <row r="848" spans="5:5" x14ac:dyDescent="0.25">
      <c r="E848"/>
    </row>
    <row r="849" spans="5:5" x14ac:dyDescent="0.25">
      <c r="E849"/>
    </row>
    <row r="850" spans="5:5" x14ac:dyDescent="0.25">
      <c r="E850"/>
    </row>
    <row r="851" spans="5:5" x14ac:dyDescent="0.25">
      <c r="E851"/>
    </row>
    <row r="852" spans="5:5" x14ac:dyDescent="0.25">
      <c r="E852"/>
    </row>
    <row r="853" spans="5:5" x14ac:dyDescent="0.25">
      <c r="E853"/>
    </row>
    <row r="854" spans="5:5" x14ac:dyDescent="0.25">
      <c r="E854"/>
    </row>
    <row r="855" spans="5:5" x14ac:dyDescent="0.25">
      <c r="E855"/>
    </row>
    <row r="856" spans="5:5" x14ac:dyDescent="0.25">
      <c r="E856"/>
    </row>
    <row r="857" spans="5:5" x14ac:dyDescent="0.25">
      <c r="E857"/>
    </row>
    <row r="858" spans="5:5" x14ac:dyDescent="0.25">
      <c r="E858"/>
    </row>
    <row r="859" spans="5:5" x14ac:dyDescent="0.25">
      <c r="E859"/>
    </row>
    <row r="860" spans="5:5" x14ac:dyDescent="0.25">
      <c r="E860"/>
    </row>
    <row r="861" spans="5:5" x14ac:dyDescent="0.25">
      <c r="E861"/>
    </row>
    <row r="862" spans="5:5" x14ac:dyDescent="0.25">
      <c r="E862"/>
    </row>
    <row r="863" spans="5:5" x14ac:dyDescent="0.25">
      <c r="E863"/>
    </row>
    <row r="864" spans="5:5" x14ac:dyDescent="0.25">
      <c r="E864"/>
    </row>
    <row r="865" spans="5:5" x14ac:dyDescent="0.25">
      <c r="E865"/>
    </row>
    <row r="866" spans="5:5" x14ac:dyDescent="0.25">
      <c r="E866"/>
    </row>
    <row r="867" spans="5:5" x14ac:dyDescent="0.25">
      <c r="E867"/>
    </row>
    <row r="868" spans="5:5" x14ac:dyDescent="0.25">
      <c r="E868"/>
    </row>
    <row r="869" spans="5:5" x14ac:dyDescent="0.25">
      <c r="E869"/>
    </row>
    <row r="870" spans="5:5" x14ac:dyDescent="0.25">
      <c r="E870"/>
    </row>
    <row r="871" spans="5:5" x14ac:dyDescent="0.25">
      <c r="E871"/>
    </row>
    <row r="872" spans="5:5" x14ac:dyDescent="0.25">
      <c r="E872"/>
    </row>
    <row r="873" spans="5:5" x14ac:dyDescent="0.25">
      <c r="E873"/>
    </row>
    <row r="874" spans="5:5" x14ac:dyDescent="0.25">
      <c r="E874"/>
    </row>
    <row r="875" spans="5:5" x14ac:dyDescent="0.25">
      <c r="E875"/>
    </row>
    <row r="876" spans="5:5" x14ac:dyDescent="0.25">
      <c r="E876"/>
    </row>
    <row r="877" spans="5:5" x14ac:dyDescent="0.25">
      <c r="E877"/>
    </row>
    <row r="878" spans="5:5" x14ac:dyDescent="0.25">
      <c r="E878"/>
    </row>
    <row r="879" spans="5:5" x14ac:dyDescent="0.25">
      <c r="E879"/>
    </row>
    <row r="880" spans="5:5" x14ac:dyDescent="0.25">
      <c r="E880"/>
    </row>
    <row r="881" spans="5:5" x14ac:dyDescent="0.25">
      <c r="E881"/>
    </row>
    <row r="882" spans="5:5" x14ac:dyDescent="0.25">
      <c r="E882"/>
    </row>
    <row r="883" spans="5:5" x14ac:dyDescent="0.25">
      <c r="E883"/>
    </row>
    <row r="884" spans="5:5" x14ac:dyDescent="0.25">
      <c r="E884"/>
    </row>
    <row r="885" spans="5:5" x14ac:dyDescent="0.25">
      <c r="E885"/>
    </row>
    <row r="886" spans="5:5" x14ac:dyDescent="0.25">
      <c r="E886"/>
    </row>
    <row r="887" spans="5:5" x14ac:dyDescent="0.25">
      <c r="E887"/>
    </row>
    <row r="888" spans="5:5" x14ac:dyDescent="0.25">
      <c r="E888"/>
    </row>
    <row r="889" spans="5:5" x14ac:dyDescent="0.25">
      <c r="E889"/>
    </row>
    <row r="890" spans="5:5" x14ac:dyDescent="0.25">
      <c r="E890"/>
    </row>
    <row r="891" spans="5:5" x14ac:dyDescent="0.25">
      <c r="E891"/>
    </row>
    <row r="892" spans="5:5" x14ac:dyDescent="0.25">
      <c r="E892"/>
    </row>
    <row r="893" spans="5:5" x14ac:dyDescent="0.25">
      <c r="E893"/>
    </row>
    <row r="894" spans="5:5" x14ac:dyDescent="0.25">
      <c r="E894"/>
    </row>
    <row r="895" spans="5:5" x14ac:dyDescent="0.25">
      <c r="E895"/>
    </row>
    <row r="896" spans="5:5" x14ac:dyDescent="0.25">
      <c r="E896"/>
    </row>
    <row r="897" spans="5:5" x14ac:dyDescent="0.25">
      <c r="E897"/>
    </row>
    <row r="898" spans="5:5" x14ac:dyDescent="0.25">
      <c r="E898"/>
    </row>
    <row r="899" spans="5:5" x14ac:dyDescent="0.25">
      <c r="E899"/>
    </row>
    <row r="900" spans="5:5" x14ac:dyDescent="0.25">
      <c r="E900"/>
    </row>
    <row r="901" spans="5:5" x14ac:dyDescent="0.25">
      <c r="E901"/>
    </row>
    <row r="902" spans="5:5" x14ac:dyDescent="0.25">
      <c r="E902"/>
    </row>
    <row r="903" spans="5:5" x14ac:dyDescent="0.25">
      <c r="E903"/>
    </row>
    <row r="904" spans="5:5" x14ac:dyDescent="0.25">
      <c r="E904"/>
    </row>
    <row r="905" spans="5:5" x14ac:dyDescent="0.25">
      <c r="E905"/>
    </row>
    <row r="906" spans="5:5" x14ac:dyDescent="0.25">
      <c r="E906"/>
    </row>
    <row r="907" spans="5:5" x14ac:dyDescent="0.25">
      <c r="E907"/>
    </row>
    <row r="908" spans="5:5" x14ac:dyDescent="0.25">
      <c r="E908"/>
    </row>
    <row r="909" spans="5:5" x14ac:dyDescent="0.25">
      <c r="E909"/>
    </row>
    <row r="910" spans="5:5" x14ac:dyDescent="0.25">
      <c r="E910"/>
    </row>
    <row r="911" spans="5:5" x14ac:dyDescent="0.25">
      <c r="E911"/>
    </row>
    <row r="912" spans="5:5" x14ac:dyDescent="0.25">
      <c r="E912"/>
    </row>
    <row r="913" spans="5:5" x14ac:dyDescent="0.25">
      <c r="E913"/>
    </row>
    <row r="914" spans="5:5" x14ac:dyDescent="0.25">
      <c r="E914"/>
    </row>
    <row r="915" spans="5:5" x14ac:dyDescent="0.25">
      <c r="E915"/>
    </row>
    <row r="916" spans="5:5" x14ac:dyDescent="0.25">
      <c r="E916"/>
    </row>
    <row r="917" spans="5:5" x14ac:dyDescent="0.25">
      <c r="E917"/>
    </row>
    <row r="918" spans="5:5" x14ac:dyDescent="0.25">
      <c r="E918"/>
    </row>
    <row r="919" spans="5:5" x14ac:dyDescent="0.25">
      <c r="E919"/>
    </row>
    <row r="920" spans="5:5" x14ac:dyDescent="0.25">
      <c r="E920"/>
    </row>
    <row r="921" spans="5:5" x14ac:dyDescent="0.25">
      <c r="E921"/>
    </row>
    <row r="922" spans="5:5" x14ac:dyDescent="0.25">
      <c r="E922"/>
    </row>
    <row r="923" spans="5:5" x14ac:dyDescent="0.25">
      <c r="E923"/>
    </row>
    <row r="924" spans="5:5" x14ac:dyDescent="0.25">
      <c r="E924"/>
    </row>
    <row r="925" spans="5:5" x14ac:dyDescent="0.25">
      <c r="E925"/>
    </row>
    <row r="926" spans="5:5" x14ac:dyDescent="0.25">
      <c r="E926"/>
    </row>
    <row r="927" spans="5:5" x14ac:dyDescent="0.25">
      <c r="E927"/>
    </row>
    <row r="928" spans="5:5" x14ac:dyDescent="0.25">
      <c r="E928"/>
    </row>
    <row r="929" spans="5:5" x14ac:dyDescent="0.25">
      <c r="E929"/>
    </row>
    <row r="930" spans="5:5" x14ac:dyDescent="0.25">
      <c r="E930"/>
    </row>
    <row r="931" spans="5:5" x14ac:dyDescent="0.25">
      <c r="E931"/>
    </row>
    <row r="932" spans="5:5" x14ac:dyDescent="0.25">
      <c r="E932"/>
    </row>
    <row r="933" spans="5:5" x14ac:dyDescent="0.25">
      <c r="E933"/>
    </row>
    <row r="934" spans="5:5" x14ac:dyDescent="0.25">
      <c r="E934"/>
    </row>
    <row r="935" spans="5:5" x14ac:dyDescent="0.25">
      <c r="E935"/>
    </row>
    <row r="936" spans="5:5" x14ac:dyDescent="0.25">
      <c r="E936"/>
    </row>
    <row r="937" spans="5:5" x14ac:dyDescent="0.25">
      <c r="E937"/>
    </row>
    <row r="938" spans="5:5" x14ac:dyDescent="0.25">
      <c r="E938"/>
    </row>
    <row r="939" spans="5:5" x14ac:dyDescent="0.25">
      <c r="E939"/>
    </row>
    <row r="940" spans="5:5" x14ac:dyDescent="0.25">
      <c r="E940"/>
    </row>
    <row r="941" spans="5:5" x14ac:dyDescent="0.25">
      <c r="E941"/>
    </row>
    <row r="942" spans="5:5" x14ac:dyDescent="0.25">
      <c r="E942"/>
    </row>
    <row r="943" spans="5:5" x14ac:dyDescent="0.25">
      <c r="E943"/>
    </row>
    <row r="944" spans="5:5" x14ac:dyDescent="0.25">
      <c r="E944"/>
    </row>
    <row r="945" spans="5:5" x14ac:dyDescent="0.25">
      <c r="E945"/>
    </row>
    <row r="946" spans="5:5" x14ac:dyDescent="0.25">
      <c r="E946"/>
    </row>
    <row r="947" spans="5:5" x14ac:dyDescent="0.25">
      <c r="E947"/>
    </row>
    <row r="948" spans="5:5" x14ac:dyDescent="0.25">
      <c r="E948"/>
    </row>
    <row r="949" spans="5:5" x14ac:dyDescent="0.25">
      <c r="E949"/>
    </row>
    <row r="950" spans="5:5" x14ac:dyDescent="0.25">
      <c r="E950"/>
    </row>
    <row r="951" spans="5:5" x14ac:dyDescent="0.25">
      <c r="E951"/>
    </row>
    <row r="952" spans="5:5" x14ac:dyDescent="0.25">
      <c r="E952"/>
    </row>
    <row r="953" spans="5:5" x14ac:dyDescent="0.25">
      <c r="E953"/>
    </row>
    <row r="954" spans="5:5" x14ac:dyDescent="0.25">
      <c r="E954"/>
    </row>
    <row r="955" spans="5:5" x14ac:dyDescent="0.25">
      <c r="E955"/>
    </row>
    <row r="956" spans="5:5" x14ac:dyDescent="0.25">
      <c r="E956"/>
    </row>
    <row r="957" spans="5:5" x14ac:dyDescent="0.25">
      <c r="E957"/>
    </row>
    <row r="958" spans="5:5" x14ac:dyDescent="0.25">
      <c r="E958"/>
    </row>
    <row r="959" spans="5:5" x14ac:dyDescent="0.25">
      <c r="E959"/>
    </row>
    <row r="960" spans="5:5" x14ac:dyDescent="0.25">
      <c r="E960"/>
    </row>
    <row r="961" spans="5:5" x14ac:dyDescent="0.25">
      <c r="E961"/>
    </row>
    <row r="962" spans="5:5" x14ac:dyDescent="0.25">
      <c r="E962"/>
    </row>
    <row r="963" spans="5:5" x14ac:dyDescent="0.25">
      <c r="E963"/>
    </row>
    <row r="964" spans="5:5" x14ac:dyDescent="0.25">
      <c r="E964"/>
    </row>
    <row r="965" spans="5:5" x14ac:dyDescent="0.25">
      <c r="E965"/>
    </row>
    <row r="966" spans="5:5" x14ac:dyDescent="0.25">
      <c r="E966"/>
    </row>
    <row r="967" spans="5:5" x14ac:dyDescent="0.25">
      <c r="E967"/>
    </row>
    <row r="968" spans="5:5" x14ac:dyDescent="0.25">
      <c r="E968"/>
    </row>
    <row r="969" spans="5:5" x14ac:dyDescent="0.25">
      <c r="E969"/>
    </row>
    <row r="970" spans="5:5" x14ac:dyDescent="0.25">
      <c r="E970"/>
    </row>
    <row r="971" spans="5:5" x14ac:dyDescent="0.25">
      <c r="E971"/>
    </row>
    <row r="972" spans="5:5" x14ac:dyDescent="0.25">
      <c r="E972"/>
    </row>
    <row r="973" spans="5:5" x14ac:dyDescent="0.25">
      <c r="E973"/>
    </row>
    <row r="974" spans="5:5" x14ac:dyDescent="0.25">
      <c r="E974"/>
    </row>
    <row r="975" spans="5:5" x14ac:dyDescent="0.25">
      <c r="E975"/>
    </row>
    <row r="976" spans="5:5" x14ac:dyDescent="0.25">
      <c r="E976"/>
    </row>
    <row r="977" spans="5:5" x14ac:dyDescent="0.25">
      <c r="E977"/>
    </row>
    <row r="978" spans="5:5" x14ac:dyDescent="0.25">
      <c r="E978"/>
    </row>
    <row r="979" spans="5:5" x14ac:dyDescent="0.25">
      <c r="E979"/>
    </row>
    <row r="980" spans="5:5" x14ac:dyDescent="0.25">
      <c r="E980"/>
    </row>
    <row r="981" spans="5:5" x14ac:dyDescent="0.25">
      <c r="E981"/>
    </row>
    <row r="982" spans="5:5" x14ac:dyDescent="0.25">
      <c r="E982"/>
    </row>
    <row r="983" spans="5:5" x14ac:dyDescent="0.25">
      <c r="E983"/>
    </row>
    <row r="984" spans="5:5" x14ac:dyDescent="0.25">
      <c r="E984"/>
    </row>
    <row r="985" spans="5:5" x14ac:dyDescent="0.25">
      <c r="E985"/>
    </row>
    <row r="986" spans="5:5" x14ac:dyDescent="0.25">
      <c r="E986"/>
    </row>
    <row r="987" spans="5:5" x14ac:dyDescent="0.25">
      <c r="E987"/>
    </row>
    <row r="988" spans="5:5" x14ac:dyDescent="0.25">
      <c r="E988"/>
    </row>
    <row r="989" spans="5:5" x14ac:dyDescent="0.25">
      <c r="E989"/>
    </row>
    <row r="990" spans="5:5" x14ac:dyDescent="0.25">
      <c r="E990"/>
    </row>
    <row r="991" spans="5:5" x14ac:dyDescent="0.25">
      <c r="E991"/>
    </row>
    <row r="992" spans="5:5" x14ac:dyDescent="0.25">
      <c r="E992"/>
    </row>
    <row r="993" spans="5:5" x14ac:dyDescent="0.25">
      <c r="E993"/>
    </row>
    <row r="994" spans="5:5" x14ac:dyDescent="0.25">
      <c r="E994"/>
    </row>
    <row r="995" spans="5:5" x14ac:dyDescent="0.25">
      <c r="E995"/>
    </row>
    <row r="996" spans="5:5" x14ac:dyDescent="0.25">
      <c r="E996"/>
    </row>
    <row r="997" spans="5:5" x14ac:dyDescent="0.25">
      <c r="E997"/>
    </row>
    <row r="998" spans="5:5" x14ac:dyDescent="0.25">
      <c r="E998"/>
    </row>
    <row r="999" spans="5:5" x14ac:dyDescent="0.25">
      <c r="E999"/>
    </row>
    <row r="1000" spans="5:5" x14ac:dyDescent="0.25">
      <c r="E1000"/>
    </row>
    <row r="1001" spans="5:5" x14ac:dyDescent="0.25">
      <c r="E1001"/>
    </row>
    <row r="1002" spans="5:5" x14ac:dyDescent="0.25">
      <c r="E1002"/>
    </row>
    <row r="1003" spans="5:5" x14ac:dyDescent="0.25">
      <c r="E1003"/>
    </row>
    <row r="1004" spans="5:5" x14ac:dyDescent="0.25">
      <c r="E1004"/>
    </row>
    <row r="1005" spans="5:5" x14ac:dyDescent="0.25">
      <c r="E1005"/>
    </row>
    <row r="1006" spans="5:5" x14ac:dyDescent="0.25">
      <c r="E1006"/>
    </row>
    <row r="1007" spans="5:5" x14ac:dyDescent="0.25">
      <c r="E1007"/>
    </row>
    <row r="1008" spans="5:5" x14ac:dyDescent="0.25">
      <c r="E1008"/>
    </row>
    <row r="1009" spans="5:5" x14ac:dyDescent="0.25">
      <c r="E1009"/>
    </row>
    <row r="1010" spans="5:5" x14ac:dyDescent="0.25">
      <c r="E1010"/>
    </row>
    <row r="1011" spans="5:5" x14ac:dyDescent="0.25">
      <c r="E1011"/>
    </row>
    <row r="1012" spans="5:5" x14ac:dyDescent="0.25">
      <c r="E1012"/>
    </row>
    <row r="1013" spans="5:5" x14ac:dyDescent="0.25">
      <c r="E1013"/>
    </row>
    <row r="1014" spans="5:5" x14ac:dyDescent="0.25">
      <c r="E1014"/>
    </row>
    <row r="1015" spans="5:5" x14ac:dyDescent="0.25">
      <c r="E1015"/>
    </row>
    <row r="1016" spans="5:5" x14ac:dyDescent="0.25">
      <c r="E1016"/>
    </row>
    <row r="1017" spans="5:5" x14ac:dyDescent="0.25">
      <c r="E1017"/>
    </row>
    <row r="1018" spans="5:5" x14ac:dyDescent="0.25">
      <c r="E1018"/>
    </row>
    <row r="1019" spans="5:5" x14ac:dyDescent="0.25">
      <c r="E1019"/>
    </row>
    <row r="1020" spans="5:5" x14ac:dyDescent="0.25">
      <c r="E1020"/>
    </row>
    <row r="1021" spans="5:5" x14ac:dyDescent="0.25">
      <c r="E1021"/>
    </row>
    <row r="1022" spans="5:5" x14ac:dyDescent="0.25">
      <c r="E1022"/>
    </row>
    <row r="1023" spans="5:5" x14ac:dyDescent="0.25">
      <c r="E1023"/>
    </row>
    <row r="1024" spans="5:5" x14ac:dyDescent="0.25">
      <c r="E1024"/>
    </row>
    <row r="1025" spans="5:5" x14ac:dyDescent="0.25">
      <c r="E1025"/>
    </row>
    <row r="1026" spans="5:5" x14ac:dyDescent="0.25">
      <c r="E1026"/>
    </row>
    <row r="1027" spans="5:5" x14ac:dyDescent="0.25">
      <c r="E1027"/>
    </row>
    <row r="1028" spans="5:5" x14ac:dyDescent="0.25">
      <c r="E1028"/>
    </row>
    <row r="1029" spans="5:5" x14ac:dyDescent="0.25">
      <c r="E1029"/>
    </row>
    <row r="1030" spans="5:5" x14ac:dyDescent="0.25">
      <c r="E1030"/>
    </row>
    <row r="1031" spans="5:5" x14ac:dyDescent="0.25">
      <c r="E1031"/>
    </row>
    <row r="1032" spans="5:5" x14ac:dyDescent="0.25">
      <c r="E1032"/>
    </row>
    <row r="1033" spans="5:5" x14ac:dyDescent="0.25">
      <c r="E1033"/>
    </row>
    <row r="1034" spans="5:5" x14ac:dyDescent="0.25">
      <c r="E1034"/>
    </row>
    <row r="1035" spans="5:5" x14ac:dyDescent="0.25">
      <c r="E1035"/>
    </row>
    <row r="1036" spans="5:5" x14ac:dyDescent="0.25">
      <c r="E1036"/>
    </row>
    <row r="1037" spans="5:5" x14ac:dyDescent="0.25">
      <c r="E1037"/>
    </row>
    <row r="1038" spans="5:5" x14ac:dyDescent="0.25">
      <c r="E1038"/>
    </row>
    <row r="1039" spans="5:5" x14ac:dyDescent="0.25">
      <c r="E1039"/>
    </row>
    <row r="1040" spans="5:5" x14ac:dyDescent="0.25">
      <c r="E1040"/>
    </row>
    <row r="1041" spans="5:5" x14ac:dyDescent="0.25">
      <c r="E1041"/>
    </row>
    <row r="1042" spans="5:5" x14ac:dyDescent="0.25">
      <c r="E1042"/>
    </row>
    <row r="1043" spans="5:5" x14ac:dyDescent="0.25">
      <c r="E1043"/>
    </row>
    <row r="1044" spans="5:5" x14ac:dyDescent="0.25">
      <c r="E1044"/>
    </row>
    <row r="1045" spans="5:5" x14ac:dyDescent="0.25">
      <c r="E1045"/>
    </row>
    <row r="1046" spans="5:5" x14ac:dyDescent="0.25">
      <c r="E1046"/>
    </row>
    <row r="1047" spans="5:5" x14ac:dyDescent="0.25">
      <c r="E1047"/>
    </row>
    <row r="1048" spans="5:5" x14ac:dyDescent="0.25">
      <c r="E1048"/>
    </row>
    <row r="1049" spans="5:5" x14ac:dyDescent="0.25">
      <c r="E1049"/>
    </row>
    <row r="1050" spans="5:5" x14ac:dyDescent="0.25">
      <c r="E1050"/>
    </row>
    <row r="1051" spans="5:5" x14ac:dyDescent="0.25">
      <c r="E1051"/>
    </row>
    <row r="1052" spans="5:5" x14ac:dyDescent="0.25">
      <c r="E1052"/>
    </row>
    <row r="1053" spans="5:5" x14ac:dyDescent="0.25">
      <c r="E1053"/>
    </row>
    <row r="1054" spans="5:5" x14ac:dyDescent="0.25">
      <c r="E1054"/>
    </row>
    <row r="1055" spans="5:5" x14ac:dyDescent="0.25">
      <c r="E1055"/>
    </row>
    <row r="1056" spans="5:5" x14ac:dyDescent="0.25">
      <c r="E1056"/>
    </row>
    <row r="1057" spans="5:5" x14ac:dyDescent="0.25">
      <c r="E1057"/>
    </row>
    <row r="1058" spans="5:5" x14ac:dyDescent="0.25">
      <c r="E1058"/>
    </row>
    <row r="1059" spans="5:5" x14ac:dyDescent="0.25">
      <c r="E1059"/>
    </row>
    <row r="1060" spans="5:5" x14ac:dyDescent="0.25">
      <c r="E1060"/>
    </row>
    <row r="1061" spans="5:5" x14ac:dyDescent="0.25">
      <c r="E1061"/>
    </row>
    <row r="1062" spans="5:5" x14ac:dyDescent="0.25">
      <c r="E1062"/>
    </row>
    <row r="1063" spans="5:5" x14ac:dyDescent="0.25">
      <c r="E1063"/>
    </row>
    <row r="1064" spans="5:5" x14ac:dyDescent="0.25">
      <c r="E1064"/>
    </row>
    <row r="1065" spans="5:5" x14ac:dyDescent="0.25">
      <c r="E1065"/>
    </row>
    <row r="1066" spans="5:5" x14ac:dyDescent="0.25">
      <c r="E1066"/>
    </row>
    <row r="1067" spans="5:5" x14ac:dyDescent="0.25">
      <c r="E1067"/>
    </row>
    <row r="1068" spans="5:5" x14ac:dyDescent="0.25">
      <c r="E1068"/>
    </row>
    <row r="1069" spans="5:5" x14ac:dyDescent="0.25">
      <c r="E1069"/>
    </row>
    <row r="1070" spans="5:5" x14ac:dyDescent="0.25">
      <c r="E1070"/>
    </row>
    <row r="1071" spans="5:5" x14ac:dyDescent="0.25">
      <c r="E1071"/>
    </row>
    <row r="1072" spans="5:5" x14ac:dyDescent="0.25">
      <c r="E1072"/>
    </row>
    <row r="1073" spans="5:5" x14ac:dyDescent="0.25">
      <c r="E1073"/>
    </row>
    <row r="1074" spans="5:5" x14ac:dyDescent="0.25">
      <c r="E1074"/>
    </row>
    <row r="1075" spans="5:5" x14ac:dyDescent="0.25">
      <c r="E1075"/>
    </row>
    <row r="1076" spans="5:5" x14ac:dyDescent="0.25">
      <c r="E1076"/>
    </row>
    <row r="1077" spans="5:5" x14ac:dyDescent="0.25">
      <c r="E1077"/>
    </row>
    <row r="1078" spans="5:5" x14ac:dyDescent="0.25">
      <c r="E1078"/>
    </row>
    <row r="1079" spans="5:5" x14ac:dyDescent="0.25">
      <c r="E1079"/>
    </row>
    <row r="1080" spans="5:5" x14ac:dyDescent="0.25">
      <c r="E1080"/>
    </row>
    <row r="1081" spans="5:5" x14ac:dyDescent="0.25">
      <c r="E1081"/>
    </row>
    <row r="1082" spans="5:5" x14ac:dyDescent="0.25">
      <c r="E1082"/>
    </row>
    <row r="1083" spans="5:5" x14ac:dyDescent="0.25">
      <c r="E1083"/>
    </row>
    <row r="1084" spans="5:5" x14ac:dyDescent="0.25">
      <c r="E1084"/>
    </row>
    <row r="1085" spans="5:5" x14ac:dyDescent="0.25">
      <c r="E1085"/>
    </row>
    <row r="1086" spans="5:5" x14ac:dyDescent="0.25">
      <c r="E1086"/>
    </row>
    <row r="1087" spans="5:5" x14ac:dyDescent="0.25">
      <c r="E1087"/>
    </row>
    <row r="1088" spans="5:5" x14ac:dyDescent="0.25">
      <c r="E1088"/>
    </row>
    <row r="1089" spans="5:5" x14ac:dyDescent="0.25">
      <c r="E1089"/>
    </row>
    <row r="1090" spans="5:5" x14ac:dyDescent="0.25">
      <c r="E1090"/>
    </row>
    <row r="1091" spans="5:5" x14ac:dyDescent="0.25">
      <c r="E1091"/>
    </row>
    <row r="1092" spans="5:5" x14ac:dyDescent="0.25">
      <c r="E1092"/>
    </row>
    <row r="1093" spans="5:5" x14ac:dyDescent="0.25">
      <c r="E1093"/>
    </row>
    <row r="1094" spans="5:5" x14ac:dyDescent="0.25">
      <c r="E1094"/>
    </row>
    <row r="1095" spans="5:5" x14ac:dyDescent="0.25">
      <c r="E1095"/>
    </row>
    <row r="1096" spans="5:5" x14ac:dyDescent="0.25">
      <c r="E1096"/>
    </row>
    <row r="1097" spans="5:5" x14ac:dyDescent="0.25">
      <c r="E1097"/>
    </row>
    <row r="1098" spans="5:5" x14ac:dyDescent="0.25">
      <c r="E1098"/>
    </row>
    <row r="1099" spans="5:5" x14ac:dyDescent="0.25">
      <c r="E1099"/>
    </row>
    <row r="1100" spans="5:5" x14ac:dyDescent="0.25">
      <c r="E1100"/>
    </row>
    <row r="1101" spans="5:5" x14ac:dyDescent="0.25">
      <c r="E1101"/>
    </row>
    <row r="1102" spans="5:5" x14ac:dyDescent="0.25">
      <c r="E1102"/>
    </row>
    <row r="1103" spans="5:5" x14ac:dyDescent="0.25">
      <c r="E1103"/>
    </row>
    <row r="1104" spans="5:5" x14ac:dyDescent="0.25">
      <c r="E1104"/>
    </row>
    <row r="1105" spans="5:5" x14ac:dyDescent="0.25">
      <c r="E1105"/>
    </row>
    <row r="1106" spans="5:5" x14ac:dyDescent="0.25">
      <c r="E1106"/>
    </row>
    <row r="1107" spans="5:5" x14ac:dyDescent="0.25">
      <c r="E1107"/>
    </row>
    <row r="1108" spans="5:5" x14ac:dyDescent="0.25">
      <c r="E1108"/>
    </row>
    <row r="1109" spans="5:5" x14ac:dyDescent="0.25">
      <c r="E1109"/>
    </row>
    <row r="1110" spans="5:5" x14ac:dyDescent="0.25">
      <c r="E1110"/>
    </row>
    <row r="1111" spans="5:5" x14ac:dyDescent="0.25">
      <c r="E1111"/>
    </row>
    <row r="1112" spans="5:5" x14ac:dyDescent="0.25">
      <c r="E1112"/>
    </row>
    <row r="1113" spans="5:5" x14ac:dyDescent="0.25">
      <c r="E1113"/>
    </row>
    <row r="1114" spans="5:5" x14ac:dyDescent="0.25">
      <c r="E1114"/>
    </row>
    <row r="1115" spans="5:5" x14ac:dyDescent="0.25">
      <c r="E1115"/>
    </row>
    <row r="1116" spans="5:5" x14ac:dyDescent="0.25">
      <c r="E1116"/>
    </row>
    <row r="1117" spans="5:5" x14ac:dyDescent="0.25">
      <c r="E1117"/>
    </row>
    <row r="1118" spans="5:5" x14ac:dyDescent="0.25">
      <c r="E1118"/>
    </row>
    <row r="1119" spans="5:5" x14ac:dyDescent="0.25">
      <c r="E1119"/>
    </row>
    <row r="1120" spans="5:5" x14ac:dyDescent="0.25">
      <c r="E1120"/>
    </row>
    <row r="1121" spans="5:5" x14ac:dyDescent="0.25">
      <c r="E1121"/>
    </row>
    <row r="1122" spans="5:5" x14ac:dyDescent="0.25">
      <c r="E1122"/>
    </row>
    <row r="1123" spans="5:5" x14ac:dyDescent="0.25">
      <c r="E1123"/>
    </row>
    <row r="1124" spans="5:5" x14ac:dyDescent="0.25">
      <c r="E1124"/>
    </row>
    <row r="1125" spans="5:5" x14ac:dyDescent="0.25">
      <c r="E1125"/>
    </row>
    <row r="1126" spans="5:5" x14ac:dyDescent="0.25">
      <c r="E1126"/>
    </row>
    <row r="1127" spans="5:5" x14ac:dyDescent="0.25">
      <c r="E1127"/>
    </row>
    <row r="1128" spans="5:5" x14ac:dyDescent="0.25">
      <c r="E1128"/>
    </row>
    <row r="1129" spans="5:5" x14ac:dyDescent="0.25">
      <c r="E1129"/>
    </row>
    <row r="1130" spans="5:5" x14ac:dyDescent="0.25">
      <c r="E1130"/>
    </row>
    <row r="1131" spans="5:5" x14ac:dyDescent="0.25">
      <c r="E1131"/>
    </row>
    <row r="1132" spans="5:5" x14ac:dyDescent="0.25">
      <c r="E1132"/>
    </row>
    <row r="1133" spans="5:5" x14ac:dyDescent="0.25">
      <c r="E1133"/>
    </row>
    <row r="1134" spans="5:5" x14ac:dyDescent="0.25">
      <c r="E1134"/>
    </row>
    <row r="1135" spans="5:5" x14ac:dyDescent="0.25">
      <c r="E1135"/>
    </row>
    <row r="1136" spans="5:5" x14ac:dyDescent="0.25">
      <c r="E1136"/>
    </row>
    <row r="1137" spans="5:5" x14ac:dyDescent="0.25">
      <c r="E1137"/>
    </row>
    <row r="1138" spans="5:5" x14ac:dyDescent="0.25">
      <c r="E1138"/>
    </row>
    <row r="1139" spans="5:5" x14ac:dyDescent="0.25">
      <c r="E1139"/>
    </row>
    <row r="1140" spans="5:5" x14ac:dyDescent="0.25">
      <c r="E1140"/>
    </row>
    <row r="1141" spans="5:5" x14ac:dyDescent="0.25">
      <c r="E1141"/>
    </row>
    <row r="1142" spans="5:5" x14ac:dyDescent="0.25">
      <c r="E1142"/>
    </row>
    <row r="1143" spans="5:5" x14ac:dyDescent="0.25">
      <c r="E1143"/>
    </row>
    <row r="1144" spans="5:5" x14ac:dyDescent="0.25">
      <c r="E1144"/>
    </row>
    <row r="1145" spans="5:5" x14ac:dyDescent="0.25">
      <c r="E1145"/>
    </row>
    <row r="1146" spans="5:5" x14ac:dyDescent="0.25">
      <c r="E1146"/>
    </row>
    <row r="1147" spans="5:5" x14ac:dyDescent="0.25">
      <c r="E1147"/>
    </row>
    <row r="1148" spans="5:5" x14ac:dyDescent="0.25">
      <c r="E1148"/>
    </row>
    <row r="1149" spans="5:5" x14ac:dyDescent="0.25">
      <c r="E1149"/>
    </row>
    <row r="1150" spans="5:5" x14ac:dyDescent="0.25">
      <c r="E1150"/>
    </row>
    <row r="1151" spans="5:5" x14ac:dyDescent="0.25">
      <c r="E1151"/>
    </row>
    <row r="1152" spans="5:5" x14ac:dyDescent="0.25">
      <c r="E1152"/>
    </row>
    <row r="1153" spans="5:5" x14ac:dyDescent="0.25">
      <c r="E1153"/>
    </row>
    <row r="1154" spans="5:5" x14ac:dyDescent="0.25">
      <c r="E1154"/>
    </row>
    <row r="1155" spans="5:5" x14ac:dyDescent="0.25">
      <c r="E1155"/>
    </row>
    <row r="1156" spans="5:5" x14ac:dyDescent="0.25">
      <c r="E1156"/>
    </row>
    <row r="1157" spans="5:5" x14ac:dyDescent="0.25">
      <c r="E1157"/>
    </row>
    <row r="1158" spans="5:5" x14ac:dyDescent="0.25">
      <c r="E1158"/>
    </row>
    <row r="1159" spans="5:5" x14ac:dyDescent="0.25">
      <c r="E1159"/>
    </row>
    <row r="1160" spans="5:5" x14ac:dyDescent="0.25">
      <c r="E1160"/>
    </row>
    <row r="1161" spans="5:5" x14ac:dyDescent="0.25">
      <c r="E1161"/>
    </row>
    <row r="1162" spans="5:5" x14ac:dyDescent="0.25">
      <c r="E1162"/>
    </row>
    <row r="1163" spans="5:5" x14ac:dyDescent="0.25">
      <c r="E1163"/>
    </row>
    <row r="1164" spans="5:5" x14ac:dyDescent="0.25">
      <c r="E1164"/>
    </row>
    <row r="1165" spans="5:5" x14ac:dyDescent="0.25">
      <c r="E1165"/>
    </row>
    <row r="1166" spans="5:5" x14ac:dyDescent="0.25">
      <c r="E1166"/>
    </row>
    <row r="1167" spans="5:5" x14ac:dyDescent="0.25">
      <c r="E1167"/>
    </row>
    <row r="1168" spans="5:5" x14ac:dyDescent="0.25">
      <c r="E1168"/>
    </row>
    <row r="1169" spans="5:5" x14ac:dyDescent="0.25">
      <c r="E1169"/>
    </row>
    <row r="1170" spans="5:5" x14ac:dyDescent="0.25">
      <c r="E1170"/>
    </row>
    <row r="1171" spans="5:5" x14ac:dyDescent="0.25">
      <c r="E1171"/>
    </row>
    <row r="1172" spans="5:5" x14ac:dyDescent="0.25">
      <c r="E1172"/>
    </row>
    <row r="1173" spans="5:5" x14ac:dyDescent="0.25">
      <c r="E1173"/>
    </row>
    <row r="1174" spans="5:5" x14ac:dyDescent="0.25">
      <c r="E1174"/>
    </row>
    <row r="1175" spans="5:5" x14ac:dyDescent="0.25">
      <c r="E1175"/>
    </row>
    <row r="1176" spans="5:5" x14ac:dyDescent="0.25">
      <c r="E1176"/>
    </row>
    <row r="1177" spans="5:5" x14ac:dyDescent="0.25">
      <c r="E1177"/>
    </row>
    <row r="1178" spans="5:5" x14ac:dyDescent="0.25">
      <c r="E1178"/>
    </row>
    <row r="1179" spans="5:5" x14ac:dyDescent="0.25">
      <c r="E1179"/>
    </row>
    <row r="1180" spans="5:5" x14ac:dyDescent="0.25">
      <c r="E1180"/>
    </row>
    <row r="1181" spans="5:5" x14ac:dyDescent="0.25">
      <c r="E1181"/>
    </row>
    <row r="1182" spans="5:5" x14ac:dyDescent="0.25">
      <c r="E1182"/>
    </row>
    <row r="1183" spans="5:5" x14ac:dyDescent="0.25">
      <c r="E1183"/>
    </row>
    <row r="1184" spans="5:5" x14ac:dyDescent="0.25">
      <c r="E1184"/>
    </row>
    <row r="1185" spans="5:5" x14ac:dyDescent="0.25">
      <c r="E1185"/>
    </row>
    <row r="1186" spans="5:5" x14ac:dyDescent="0.25">
      <c r="E1186"/>
    </row>
    <row r="1187" spans="5:5" x14ac:dyDescent="0.25">
      <c r="E1187"/>
    </row>
    <row r="1188" spans="5:5" x14ac:dyDescent="0.25">
      <c r="E1188"/>
    </row>
    <row r="1189" spans="5:5" x14ac:dyDescent="0.25">
      <c r="E1189"/>
    </row>
    <row r="1190" spans="5:5" x14ac:dyDescent="0.25">
      <c r="E1190"/>
    </row>
    <row r="1191" spans="5:5" x14ac:dyDescent="0.25">
      <c r="E1191"/>
    </row>
    <row r="1192" spans="5:5" x14ac:dyDescent="0.25">
      <c r="E1192"/>
    </row>
    <row r="1193" spans="5:5" x14ac:dyDescent="0.25">
      <c r="E1193"/>
    </row>
    <row r="1194" spans="5:5" x14ac:dyDescent="0.25">
      <c r="E1194"/>
    </row>
    <row r="1195" spans="5:5" x14ac:dyDescent="0.25">
      <c r="E1195"/>
    </row>
    <row r="1196" spans="5:5" x14ac:dyDescent="0.25">
      <c r="E1196"/>
    </row>
    <row r="1197" spans="5:5" x14ac:dyDescent="0.25">
      <c r="E1197"/>
    </row>
    <row r="1198" spans="5:5" x14ac:dyDescent="0.25">
      <c r="E1198"/>
    </row>
    <row r="1199" spans="5:5" x14ac:dyDescent="0.25">
      <c r="E1199"/>
    </row>
    <row r="1200" spans="5:5" x14ac:dyDescent="0.25">
      <c r="E1200"/>
    </row>
    <row r="1201" spans="5:5" x14ac:dyDescent="0.25">
      <c r="E1201"/>
    </row>
    <row r="1202" spans="5:5" x14ac:dyDescent="0.25">
      <c r="E1202"/>
    </row>
    <row r="1203" spans="5:5" x14ac:dyDescent="0.25">
      <c r="E1203"/>
    </row>
    <row r="1204" spans="5:5" x14ac:dyDescent="0.25">
      <c r="E1204"/>
    </row>
    <row r="1205" spans="5:5" x14ac:dyDescent="0.25">
      <c r="E1205"/>
    </row>
    <row r="1206" spans="5:5" x14ac:dyDescent="0.25">
      <c r="E1206"/>
    </row>
    <row r="1207" spans="5:5" x14ac:dyDescent="0.25">
      <c r="E1207"/>
    </row>
    <row r="1208" spans="5:5" x14ac:dyDescent="0.25">
      <c r="E1208"/>
    </row>
    <row r="1209" spans="5:5" x14ac:dyDescent="0.25">
      <c r="E1209"/>
    </row>
    <row r="1210" spans="5:5" x14ac:dyDescent="0.25">
      <c r="E1210"/>
    </row>
    <row r="1211" spans="5:5" x14ac:dyDescent="0.25">
      <c r="E1211"/>
    </row>
    <row r="1212" spans="5:5" x14ac:dyDescent="0.25">
      <c r="E1212"/>
    </row>
    <row r="1213" spans="5:5" x14ac:dyDescent="0.25">
      <c r="E1213"/>
    </row>
    <row r="1214" spans="5:5" x14ac:dyDescent="0.25">
      <c r="E1214"/>
    </row>
    <row r="1215" spans="5:5" x14ac:dyDescent="0.25">
      <c r="E1215"/>
    </row>
    <row r="1216" spans="5:5" x14ac:dyDescent="0.25">
      <c r="E1216"/>
    </row>
    <row r="1217" spans="5:5" x14ac:dyDescent="0.25">
      <c r="E1217"/>
    </row>
    <row r="1218" spans="5:5" x14ac:dyDescent="0.25">
      <c r="E1218"/>
    </row>
    <row r="1219" spans="5:5" x14ac:dyDescent="0.25">
      <c r="E1219"/>
    </row>
    <row r="1220" spans="5:5" x14ac:dyDescent="0.25">
      <c r="E1220"/>
    </row>
    <row r="1221" spans="5:5" x14ac:dyDescent="0.25">
      <c r="E1221"/>
    </row>
    <row r="1222" spans="5:5" x14ac:dyDescent="0.25">
      <c r="E1222"/>
    </row>
    <row r="1223" spans="5:5" x14ac:dyDescent="0.25">
      <c r="E1223"/>
    </row>
    <row r="1224" spans="5:5" x14ac:dyDescent="0.25">
      <c r="E1224"/>
    </row>
    <row r="1225" spans="5:5" x14ac:dyDescent="0.25">
      <c r="E1225"/>
    </row>
    <row r="1226" spans="5:5" x14ac:dyDescent="0.25">
      <c r="E1226"/>
    </row>
    <row r="1227" spans="5:5" x14ac:dyDescent="0.25">
      <c r="E1227"/>
    </row>
    <row r="1228" spans="5:5" x14ac:dyDescent="0.25">
      <c r="E1228"/>
    </row>
    <row r="1229" spans="5:5" x14ac:dyDescent="0.25">
      <c r="E1229"/>
    </row>
    <row r="1230" spans="5:5" x14ac:dyDescent="0.25">
      <c r="E1230"/>
    </row>
    <row r="1231" spans="5:5" x14ac:dyDescent="0.25">
      <c r="E1231"/>
    </row>
    <row r="1232" spans="5:5" x14ac:dyDescent="0.25">
      <c r="E1232"/>
    </row>
    <row r="1233" spans="5:5" x14ac:dyDescent="0.25">
      <c r="E1233"/>
    </row>
    <row r="1234" spans="5:5" x14ac:dyDescent="0.25">
      <c r="E1234"/>
    </row>
    <row r="1235" spans="5:5" x14ac:dyDescent="0.25">
      <c r="E1235"/>
    </row>
    <row r="1236" spans="5:5" x14ac:dyDescent="0.25">
      <c r="E1236"/>
    </row>
    <row r="1237" spans="5:5" x14ac:dyDescent="0.25">
      <c r="E1237"/>
    </row>
    <row r="1238" spans="5:5" x14ac:dyDescent="0.25">
      <c r="E1238"/>
    </row>
    <row r="1239" spans="5:5" x14ac:dyDescent="0.25">
      <c r="E1239"/>
    </row>
    <row r="1240" spans="5:5" x14ac:dyDescent="0.25">
      <c r="E1240"/>
    </row>
    <row r="1241" spans="5:5" x14ac:dyDescent="0.25">
      <c r="E1241"/>
    </row>
    <row r="1242" spans="5:5" x14ac:dyDescent="0.25">
      <c r="E1242"/>
    </row>
    <row r="1243" spans="5:5" x14ac:dyDescent="0.25">
      <c r="E1243"/>
    </row>
    <row r="1244" spans="5:5" x14ac:dyDescent="0.25">
      <c r="E1244"/>
    </row>
    <row r="1245" spans="5:5" x14ac:dyDescent="0.25">
      <c r="E1245"/>
    </row>
    <row r="1246" spans="5:5" x14ac:dyDescent="0.25">
      <c r="E1246"/>
    </row>
    <row r="1247" spans="5:5" x14ac:dyDescent="0.25">
      <c r="E1247"/>
    </row>
    <row r="1248" spans="5:5" x14ac:dyDescent="0.25">
      <c r="E1248"/>
    </row>
    <row r="1249" spans="5:5" x14ac:dyDescent="0.25">
      <c r="E1249"/>
    </row>
    <row r="1250" spans="5:5" x14ac:dyDescent="0.25">
      <c r="E1250"/>
    </row>
    <row r="1251" spans="5:5" x14ac:dyDescent="0.25">
      <c r="E1251"/>
    </row>
    <row r="1252" spans="5:5" x14ac:dyDescent="0.25">
      <c r="E1252"/>
    </row>
    <row r="1253" spans="5:5" x14ac:dyDescent="0.25">
      <c r="E1253"/>
    </row>
    <row r="1254" spans="5:5" x14ac:dyDescent="0.25">
      <c r="E1254"/>
    </row>
    <row r="1255" spans="5:5" x14ac:dyDescent="0.25">
      <c r="E1255"/>
    </row>
    <row r="1256" spans="5:5" x14ac:dyDescent="0.25">
      <c r="E1256"/>
    </row>
    <row r="1257" spans="5:5" x14ac:dyDescent="0.25">
      <c r="E1257"/>
    </row>
    <row r="1258" spans="5:5" x14ac:dyDescent="0.25">
      <c r="E1258"/>
    </row>
    <row r="1259" spans="5:5" x14ac:dyDescent="0.25">
      <c r="E1259"/>
    </row>
    <row r="1260" spans="5:5" x14ac:dyDescent="0.25">
      <c r="E1260"/>
    </row>
    <row r="1261" spans="5:5" x14ac:dyDescent="0.25">
      <c r="E1261"/>
    </row>
    <row r="1262" spans="5:5" x14ac:dyDescent="0.25">
      <c r="E1262"/>
    </row>
    <row r="1263" spans="5:5" x14ac:dyDescent="0.25">
      <c r="E1263"/>
    </row>
    <row r="1264" spans="5:5" x14ac:dyDescent="0.25">
      <c r="E1264"/>
    </row>
    <row r="1265" spans="5:5" x14ac:dyDescent="0.25">
      <c r="E1265"/>
    </row>
    <row r="1266" spans="5:5" x14ac:dyDescent="0.25">
      <c r="E1266"/>
    </row>
    <row r="1267" spans="5:5" x14ac:dyDescent="0.25">
      <c r="E1267"/>
    </row>
    <row r="1268" spans="5:5" x14ac:dyDescent="0.25">
      <c r="E1268"/>
    </row>
    <row r="1269" spans="5:5" x14ac:dyDescent="0.25">
      <c r="E1269"/>
    </row>
    <row r="1270" spans="5:5" x14ac:dyDescent="0.25">
      <c r="E1270"/>
    </row>
    <row r="1271" spans="5:5" x14ac:dyDescent="0.25">
      <c r="E1271"/>
    </row>
    <row r="1272" spans="5:5" x14ac:dyDescent="0.25">
      <c r="E1272"/>
    </row>
    <row r="1273" spans="5:5" x14ac:dyDescent="0.25">
      <c r="E1273"/>
    </row>
    <row r="1274" spans="5:5" x14ac:dyDescent="0.25">
      <c r="E1274"/>
    </row>
    <row r="1275" spans="5:5" x14ac:dyDescent="0.25">
      <c r="E1275"/>
    </row>
    <row r="1276" spans="5:5" x14ac:dyDescent="0.25">
      <c r="E1276"/>
    </row>
    <row r="1277" spans="5:5" x14ac:dyDescent="0.25">
      <c r="E1277"/>
    </row>
    <row r="1278" spans="5:5" x14ac:dyDescent="0.25">
      <c r="E1278"/>
    </row>
    <row r="1279" spans="5:5" x14ac:dyDescent="0.25">
      <c r="E1279"/>
    </row>
    <row r="1280" spans="5:5" x14ac:dyDescent="0.25">
      <c r="E1280"/>
    </row>
    <row r="1281" spans="5:5" x14ac:dyDescent="0.25">
      <c r="E1281"/>
    </row>
    <row r="1282" spans="5:5" x14ac:dyDescent="0.25">
      <c r="E1282"/>
    </row>
    <row r="1283" spans="5:5" x14ac:dyDescent="0.25">
      <c r="E1283"/>
    </row>
    <row r="1284" spans="5:5" x14ac:dyDescent="0.25">
      <c r="E1284"/>
    </row>
    <row r="1285" spans="5:5" x14ac:dyDescent="0.25">
      <c r="E1285"/>
    </row>
    <row r="1286" spans="5:5" x14ac:dyDescent="0.25">
      <c r="E1286"/>
    </row>
    <row r="1287" spans="5:5" x14ac:dyDescent="0.25">
      <c r="E1287"/>
    </row>
    <row r="1288" spans="5:5" x14ac:dyDescent="0.25">
      <c r="E1288"/>
    </row>
    <row r="1289" spans="5:5" x14ac:dyDescent="0.25">
      <c r="E1289"/>
    </row>
    <row r="1290" spans="5:5" x14ac:dyDescent="0.25">
      <c r="E1290"/>
    </row>
    <row r="1291" spans="5:5" x14ac:dyDescent="0.25">
      <c r="E1291"/>
    </row>
    <row r="1292" spans="5:5" x14ac:dyDescent="0.25">
      <c r="E1292"/>
    </row>
    <row r="1293" spans="5:5" x14ac:dyDescent="0.25">
      <c r="E1293"/>
    </row>
    <row r="1294" spans="5:5" x14ac:dyDescent="0.25">
      <c r="E1294"/>
    </row>
    <row r="1295" spans="5:5" x14ac:dyDescent="0.25">
      <c r="E1295"/>
    </row>
    <row r="1296" spans="5:5" x14ac:dyDescent="0.25">
      <c r="E1296"/>
    </row>
    <row r="1297" spans="5:5" x14ac:dyDescent="0.25">
      <c r="E1297"/>
    </row>
    <row r="1298" spans="5:5" x14ac:dyDescent="0.25">
      <c r="E1298"/>
    </row>
    <row r="1299" spans="5:5" x14ac:dyDescent="0.25">
      <c r="E1299"/>
    </row>
    <row r="1300" spans="5:5" x14ac:dyDescent="0.25">
      <c r="E1300"/>
    </row>
    <row r="1301" spans="5:5" x14ac:dyDescent="0.25">
      <c r="E1301"/>
    </row>
    <row r="1302" spans="5:5" x14ac:dyDescent="0.25">
      <c r="E1302"/>
    </row>
    <row r="1303" spans="5:5" x14ac:dyDescent="0.25">
      <c r="E1303"/>
    </row>
    <row r="1304" spans="5:5" x14ac:dyDescent="0.25">
      <c r="E1304"/>
    </row>
    <row r="1305" spans="5:5" x14ac:dyDescent="0.25">
      <c r="E1305"/>
    </row>
    <row r="1306" spans="5:5" x14ac:dyDescent="0.25">
      <c r="E1306"/>
    </row>
    <row r="1307" spans="5:5" x14ac:dyDescent="0.25">
      <c r="E1307"/>
    </row>
    <row r="1308" spans="5:5" x14ac:dyDescent="0.25">
      <c r="E1308"/>
    </row>
    <row r="1309" spans="5:5" x14ac:dyDescent="0.25">
      <c r="E1309"/>
    </row>
    <row r="1310" spans="5:5" x14ac:dyDescent="0.25">
      <c r="E1310"/>
    </row>
    <row r="1311" spans="5:5" x14ac:dyDescent="0.25">
      <c r="E1311"/>
    </row>
    <row r="1312" spans="5:5" x14ac:dyDescent="0.25">
      <c r="E1312"/>
    </row>
    <row r="1313" spans="5:5" x14ac:dyDescent="0.25">
      <c r="E1313"/>
    </row>
    <row r="1314" spans="5:5" x14ac:dyDescent="0.25">
      <c r="E1314"/>
    </row>
    <row r="1315" spans="5:5" x14ac:dyDescent="0.25">
      <c r="E1315"/>
    </row>
    <row r="1316" spans="5:5" x14ac:dyDescent="0.25">
      <c r="E1316"/>
    </row>
    <row r="1317" spans="5:5" x14ac:dyDescent="0.25">
      <c r="E1317"/>
    </row>
    <row r="1318" spans="5:5" x14ac:dyDescent="0.25">
      <c r="E1318"/>
    </row>
    <row r="1319" spans="5:5" x14ac:dyDescent="0.25">
      <c r="E1319"/>
    </row>
    <row r="1320" spans="5:5" x14ac:dyDescent="0.25">
      <c r="E1320"/>
    </row>
    <row r="1321" spans="5:5" x14ac:dyDescent="0.25">
      <c r="E1321"/>
    </row>
    <row r="1322" spans="5:5" x14ac:dyDescent="0.25">
      <c r="E1322"/>
    </row>
    <row r="1323" spans="5:5" x14ac:dyDescent="0.25">
      <c r="E1323"/>
    </row>
    <row r="1324" spans="5:5" x14ac:dyDescent="0.25">
      <c r="E1324"/>
    </row>
    <row r="1325" spans="5:5" x14ac:dyDescent="0.25">
      <c r="E1325"/>
    </row>
    <row r="1326" spans="5:5" x14ac:dyDescent="0.25">
      <c r="E1326"/>
    </row>
    <row r="1327" spans="5:5" x14ac:dyDescent="0.25">
      <c r="E1327"/>
    </row>
    <row r="1328" spans="5:5" x14ac:dyDescent="0.25">
      <c r="E1328"/>
    </row>
    <row r="1329" spans="5:5" x14ac:dyDescent="0.25">
      <c r="E1329"/>
    </row>
    <row r="1330" spans="5:5" x14ac:dyDescent="0.25">
      <c r="E1330"/>
    </row>
    <row r="1331" spans="5:5" x14ac:dyDescent="0.25">
      <c r="E1331"/>
    </row>
    <row r="1332" spans="5:5" x14ac:dyDescent="0.25">
      <c r="E1332"/>
    </row>
    <row r="1333" spans="5:5" x14ac:dyDescent="0.25">
      <c r="E1333"/>
    </row>
    <row r="1334" spans="5:5" x14ac:dyDescent="0.25">
      <c r="E1334"/>
    </row>
    <row r="1335" spans="5:5" x14ac:dyDescent="0.25">
      <c r="E1335"/>
    </row>
    <row r="1336" spans="5:5" x14ac:dyDescent="0.25">
      <c r="E1336"/>
    </row>
    <row r="1337" spans="5:5" x14ac:dyDescent="0.25">
      <c r="E1337"/>
    </row>
    <row r="1338" spans="5:5" x14ac:dyDescent="0.25">
      <c r="E1338"/>
    </row>
    <row r="1339" spans="5:5" x14ac:dyDescent="0.25">
      <c r="E1339"/>
    </row>
    <row r="1340" spans="5:5" x14ac:dyDescent="0.25">
      <c r="E1340"/>
    </row>
    <row r="1341" spans="5:5" x14ac:dyDescent="0.25">
      <c r="E1341"/>
    </row>
    <row r="1342" spans="5:5" x14ac:dyDescent="0.25">
      <c r="E1342"/>
    </row>
    <row r="1343" spans="5:5" x14ac:dyDescent="0.25">
      <c r="E1343"/>
    </row>
    <row r="1344" spans="5:5" x14ac:dyDescent="0.25">
      <c r="E1344"/>
    </row>
    <row r="1345" spans="5:5" x14ac:dyDescent="0.25">
      <c r="E1345"/>
    </row>
    <row r="1346" spans="5:5" x14ac:dyDescent="0.25">
      <c r="E1346"/>
    </row>
    <row r="1347" spans="5:5" x14ac:dyDescent="0.25">
      <c r="E1347"/>
    </row>
    <row r="1348" spans="5:5" x14ac:dyDescent="0.25">
      <c r="E1348"/>
    </row>
    <row r="1349" spans="5:5" x14ac:dyDescent="0.25">
      <c r="E1349"/>
    </row>
    <row r="1350" spans="5:5" x14ac:dyDescent="0.25">
      <c r="E1350"/>
    </row>
    <row r="1351" spans="5:5" x14ac:dyDescent="0.25">
      <c r="E1351"/>
    </row>
    <row r="1352" spans="5:5" x14ac:dyDescent="0.25">
      <c r="E1352"/>
    </row>
    <row r="1353" spans="5:5" x14ac:dyDescent="0.25">
      <c r="E1353"/>
    </row>
    <row r="1354" spans="5:5" x14ac:dyDescent="0.25">
      <c r="E1354"/>
    </row>
    <row r="1355" spans="5:5" x14ac:dyDescent="0.25">
      <c r="E1355"/>
    </row>
    <row r="1356" spans="5:5" x14ac:dyDescent="0.25">
      <c r="E1356"/>
    </row>
    <row r="1357" spans="5:5" x14ac:dyDescent="0.25">
      <c r="E1357"/>
    </row>
    <row r="1358" spans="5:5" x14ac:dyDescent="0.25">
      <c r="E1358"/>
    </row>
    <row r="1359" spans="5:5" x14ac:dyDescent="0.25">
      <c r="E1359"/>
    </row>
    <row r="1360" spans="5:5" x14ac:dyDescent="0.25">
      <c r="E1360"/>
    </row>
    <row r="1361" spans="5:5" x14ac:dyDescent="0.25">
      <c r="E1361"/>
    </row>
    <row r="1362" spans="5:5" x14ac:dyDescent="0.25">
      <c r="E1362"/>
    </row>
    <row r="1363" spans="5:5" x14ac:dyDescent="0.25">
      <c r="E1363"/>
    </row>
    <row r="1364" spans="5:5" x14ac:dyDescent="0.25">
      <c r="E1364"/>
    </row>
    <row r="1365" spans="5:5" x14ac:dyDescent="0.25">
      <c r="E1365"/>
    </row>
    <row r="1366" spans="5:5" x14ac:dyDescent="0.25">
      <c r="E1366"/>
    </row>
    <row r="1367" spans="5:5" x14ac:dyDescent="0.25">
      <c r="E1367"/>
    </row>
    <row r="1368" spans="5:5" x14ac:dyDescent="0.25">
      <c r="E1368"/>
    </row>
    <row r="1369" spans="5:5" x14ac:dyDescent="0.25">
      <c r="E1369"/>
    </row>
    <row r="1370" spans="5:5" x14ac:dyDescent="0.25">
      <c r="E1370"/>
    </row>
    <row r="1371" spans="5:5" x14ac:dyDescent="0.25">
      <c r="E1371"/>
    </row>
    <row r="1372" spans="5:5" x14ac:dyDescent="0.25">
      <c r="E1372"/>
    </row>
    <row r="1373" spans="5:5" x14ac:dyDescent="0.25">
      <c r="E1373"/>
    </row>
    <row r="1374" spans="5:5" x14ac:dyDescent="0.25">
      <c r="E1374"/>
    </row>
    <row r="1375" spans="5:5" x14ac:dyDescent="0.25">
      <c r="E1375"/>
    </row>
    <row r="1376" spans="5:5" x14ac:dyDescent="0.25">
      <c r="E1376"/>
    </row>
    <row r="1377" spans="5:5" x14ac:dyDescent="0.25">
      <c r="E1377"/>
    </row>
    <row r="1378" spans="5:5" x14ac:dyDescent="0.25">
      <c r="E1378"/>
    </row>
    <row r="1379" spans="5:5" x14ac:dyDescent="0.25">
      <c r="E1379"/>
    </row>
    <row r="1380" spans="5:5" x14ac:dyDescent="0.25">
      <c r="E1380"/>
    </row>
    <row r="1381" spans="5:5" x14ac:dyDescent="0.25">
      <c r="E1381"/>
    </row>
    <row r="1382" spans="5:5" x14ac:dyDescent="0.25">
      <c r="E1382"/>
    </row>
    <row r="1383" spans="5:5" x14ac:dyDescent="0.25">
      <c r="E1383"/>
    </row>
    <row r="1384" spans="5:5" x14ac:dyDescent="0.25">
      <c r="E1384"/>
    </row>
    <row r="1385" spans="5:5" x14ac:dyDescent="0.25">
      <c r="E1385"/>
    </row>
    <row r="1386" spans="5:5" x14ac:dyDescent="0.25">
      <c r="E1386"/>
    </row>
    <row r="1387" spans="5:5" x14ac:dyDescent="0.25">
      <c r="E1387"/>
    </row>
    <row r="1388" spans="5:5" x14ac:dyDescent="0.25">
      <c r="E1388"/>
    </row>
    <row r="1389" spans="5:5" x14ac:dyDescent="0.25">
      <c r="E1389"/>
    </row>
    <row r="1390" spans="5:5" x14ac:dyDescent="0.25">
      <c r="E1390"/>
    </row>
    <row r="1391" spans="5:5" x14ac:dyDescent="0.25">
      <c r="E1391"/>
    </row>
    <row r="1392" spans="5:5" x14ac:dyDescent="0.25">
      <c r="E1392"/>
    </row>
    <row r="1393" spans="5:5" x14ac:dyDescent="0.25">
      <c r="E1393"/>
    </row>
    <row r="1394" spans="5:5" x14ac:dyDescent="0.25">
      <c r="E1394"/>
    </row>
    <row r="1395" spans="5:5" x14ac:dyDescent="0.25">
      <c r="E1395"/>
    </row>
    <row r="1396" spans="5:5" x14ac:dyDescent="0.25">
      <c r="E1396"/>
    </row>
    <row r="1397" spans="5:5" x14ac:dyDescent="0.25">
      <c r="E1397"/>
    </row>
    <row r="1398" spans="5:5" x14ac:dyDescent="0.25">
      <c r="E1398"/>
    </row>
    <row r="1399" spans="5:5" x14ac:dyDescent="0.25">
      <c r="E1399"/>
    </row>
    <row r="1400" spans="5:5" x14ac:dyDescent="0.25">
      <c r="E1400"/>
    </row>
    <row r="1401" spans="5:5" x14ac:dyDescent="0.25">
      <c r="E1401"/>
    </row>
    <row r="1402" spans="5:5" x14ac:dyDescent="0.25">
      <c r="E1402"/>
    </row>
    <row r="1403" spans="5:5" x14ac:dyDescent="0.25">
      <c r="E1403"/>
    </row>
    <row r="1404" spans="5:5" x14ac:dyDescent="0.25">
      <c r="E1404"/>
    </row>
    <row r="1405" spans="5:5" x14ac:dyDescent="0.25">
      <c r="E1405"/>
    </row>
    <row r="1406" spans="5:5" x14ac:dyDescent="0.25">
      <c r="E1406"/>
    </row>
    <row r="1407" spans="5:5" x14ac:dyDescent="0.25">
      <c r="E1407"/>
    </row>
    <row r="1408" spans="5:5" x14ac:dyDescent="0.25">
      <c r="E1408"/>
    </row>
    <row r="1409" spans="5:5" x14ac:dyDescent="0.25">
      <c r="E1409"/>
    </row>
    <row r="1410" spans="5:5" x14ac:dyDescent="0.25">
      <c r="E1410"/>
    </row>
    <row r="1411" spans="5:5" x14ac:dyDescent="0.25">
      <c r="E1411"/>
    </row>
    <row r="1412" spans="5:5" x14ac:dyDescent="0.25">
      <c r="E1412"/>
    </row>
    <row r="1413" spans="5:5" x14ac:dyDescent="0.25">
      <c r="E1413"/>
    </row>
    <row r="1414" spans="5:5" x14ac:dyDescent="0.25">
      <c r="E1414"/>
    </row>
    <row r="1415" spans="5:5" x14ac:dyDescent="0.25">
      <c r="E1415"/>
    </row>
    <row r="1416" spans="5:5" x14ac:dyDescent="0.25">
      <c r="E1416"/>
    </row>
    <row r="1417" spans="5:5" x14ac:dyDescent="0.25">
      <c r="E1417"/>
    </row>
    <row r="1418" spans="5:5" x14ac:dyDescent="0.25">
      <c r="E1418"/>
    </row>
    <row r="1419" spans="5:5" x14ac:dyDescent="0.25">
      <c r="E1419"/>
    </row>
    <row r="1420" spans="5:5" x14ac:dyDescent="0.25">
      <c r="E1420"/>
    </row>
    <row r="1421" spans="5:5" x14ac:dyDescent="0.25">
      <c r="E1421"/>
    </row>
    <row r="1422" spans="5:5" x14ac:dyDescent="0.25">
      <c r="E1422"/>
    </row>
    <row r="1423" spans="5:5" x14ac:dyDescent="0.25">
      <c r="E1423"/>
    </row>
    <row r="1424" spans="5:5" x14ac:dyDescent="0.25">
      <c r="E1424"/>
    </row>
    <row r="1425" spans="5:5" x14ac:dyDescent="0.25">
      <c r="E1425"/>
    </row>
    <row r="1426" spans="5:5" x14ac:dyDescent="0.25">
      <c r="E1426"/>
    </row>
    <row r="1427" spans="5:5" x14ac:dyDescent="0.25">
      <c r="E1427"/>
    </row>
    <row r="1428" spans="5:5" x14ac:dyDescent="0.25">
      <c r="E1428"/>
    </row>
    <row r="1429" spans="5:5" x14ac:dyDescent="0.25">
      <c r="E1429"/>
    </row>
    <row r="1430" spans="5:5" x14ac:dyDescent="0.25">
      <c r="E1430"/>
    </row>
    <row r="1431" spans="5:5" x14ac:dyDescent="0.25">
      <c r="E1431"/>
    </row>
    <row r="1432" spans="5:5" x14ac:dyDescent="0.25">
      <c r="E1432"/>
    </row>
    <row r="1433" spans="5:5" x14ac:dyDescent="0.25">
      <c r="E1433"/>
    </row>
    <row r="1434" spans="5:5" x14ac:dyDescent="0.25">
      <c r="E1434"/>
    </row>
    <row r="1435" spans="5:5" x14ac:dyDescent="0.25">
      <c r="E1435"/>
    </row>
    <row r="1436" spans="5:5" x14ac:dyDescent="0.25">
      <c r="E1436"/>
    </row>
    <row r="1437" spans="5:5" x14ac:dyDescent="0.25">
      <c r="E1437"/>
    </row>
    <row r="1438" spans="5:5" x14ac:dyDescent="0.25">
      <c r="E1438"/>
    </row>
    <row r="1439" spans="5:5" x14ac:dyDescent="0.25">
      <c r="E1439"/>
    </row>
    <row r="1440" spans="5:5" x14ac:dyDescent="0.25">
      <c r="E1440"/>
    </row>
    <row r="1441" spans="5:5" x14ac:dyDescent="0.25">
      <c r="E1441"/>
    </row>
    <row r="1442" spans="5:5" x14ac:dyDescent="0.25">
      <c r="E1442"/>
    </row>
    <row r="1443" spans="5:5" x14ac:dyDescent="0.25">
      <c r="E1443"/>
    </row>
    <row r="1444" spans="5:5" x14ac:dyDescent="0.25">
      <c r="E1444"/>
    </row>
    <row r="1445" spans="5:5" x14ac:dyDescent="0.25">
      <c r="E1445"/>
    </row>
    <row r="1446" spans="5:5" x14ac:dyDescent="0.25">
      <c r="E1446"/>
    </row>
    <row r="1447" spans="5:5" x14ac:dyDescent="0.25">
      <c r="E1447"/>
    </row>
    <row r="1448" spans="5:5" x14ac:dyDescent="0.25">
      <c r="E1448"/>
    </row>
    <row r="1449" spans="5:5" x14ac:dyDescent="0.25">
      <c r="E1449"/>
    </row>
    <row r="1450" spans="5:5" x14ac:dyDescent="0.25">
      <c r="E1450"/>
    </row>
    <row r="1451" spans="5:5" x14ac:dyDescent="0.25">
      <c r="E1451"/>
    </row>
    <row r="1452" spans="5:5" x14ac:dyDescent="0.25">
      <c r="E1452"/>
    </row>
    <row r="1453" spans="5:5" x14ac:dyDescent="0.25">
      <c r="E1453"/>
    </row>
    <row r="1454" spans="5:5" x14ac:dyDescent="0.25">
      <c r="E1454"/>
    </row>
    <row r="1455" spans="5:5" x14ac:dyDescent="0.25">
      <c r="E1455"/>
    </row>
    <row r="1456" spans="5:5" x14ac:dyDescent="0.25">
      <c r="E1456"/>
    </row>
    <row r="1457" spans="5:5" x14ac:dyDescent="0.25">
      <c r="E1457"/>
    </row>
    <row r="1458" spans="5:5" x14ac:dyDescent="0.25">
      <c r="E1458"/>
    </row>
    <row r="1459" spans="5:5" x14ac:dyDescent="0.25">
      <c r="E1459"/>
    </row>
    <row r="1460" spans="5:5" x14ac:dyDescent="0.25">
      <c r="E1460"/>
    </row>
    <row r="1461" spans="5:5" x14ac:dyDescent="0.25">
      <c r="E1461"/>
    </row>
    <row r="1462" spans="5:5" x14ac:dyDescent="0.25">
      <c r="E1462"/>
    </row>
    <row r="1463" spans="5:5" x14ac:dyDescent="0.25">
      <c r="E1463"/>
    </row>
    <row r="1464" spans="5:5" x14ac:dyDescent="0.25">
      <c r="E1464"/>
    </row>
    <row r="1465" spans="5:5" x14ac:dyDescent="0.25">
      <c r="E1465"/>
    </row>
    <row r="1466" spans="5:5" x14ac:dyDescent="0.25">
      <c r="E1466"/>
    </row>
    <row r="1467" spans="5:5" x14ac:dyDescent="0.25">
      <c r="E1467"/>
    </row>
    <row r="1468" spans="5:5" x14ac:dyDescent="0.25">
      <c r="E1468"/>
    </row>
    <row r="1469" spans="5:5" x14ac:dyDescent="0.25">
      <c r="E1469"/>
    </row>
    <row r="1470" spans="5:5" x14ac:dyDescent="0.25">
      <c r="E1470"/>
    </row>
    <row r="1471" spans="5:5" x14ac:dyDescent="0.25">
      <c r="E1471"/>
    </row>
    <row r="1472" spans="5:5" x14ac:dyDescent="0.25">
      <c r="E1472"/>
    </row>
    <row r="1473" spans="5:5" x14ac:dyDescent="0.25">
      <c r="E1473"/>
    </row>
    <row r="1474" spans="5:5" x14ac:dyDescent="0.25">
      <c r="E1474"/>
    </row>
    <row r="1475" spans="5:5" x14ac:dyDescent="0.25">
      <c r="E1475"/>
    </row>
    <row r="1476" spans="5:5" x14ac:dyDescent="0.25">
      <c r="E1476"/>
    </row>
    <row r="1477" spans="5:5" x14ac:dyDescent="0.25">
      <c r="E1477"/>
    </row>
    <row r="1478" spans="5:5" x14ac:dyDescent="0.25">
      <c r="E1478"/>
    </row>
    <row r="1479" spans="5:5" x14ac:dyDescent="0.25">
      <c r="E1479"/>
    </row>
    <row r="1480" spans="5:5" x14ac:dyDescent="0.25">
      <c r="E1480"/>
    </row>
    <row r="1481" spans="5:5" x14ac:dyDescent="0.25">
      <c r="E1481"/>
    </row>
    <row r="1482" spans="5:5" x14ac:dyDescent="0.25">
      <c r="E1482"/>
    </row>
    <row r="1483" spans="5:5" x14ac:dyDescent="0.25">
      <c r="E1483"/>
    </row>
    <row r="1484" spans="5:5" x14ac:dyDescent="0.25">
      <c r="E1484"/>
    </row>
    <row r="1485" spans="5:5" x14ac:dyDescent="0.25">
      <c r="E1485"/>
    </row>
    <row r="1486" spans="5:5" x14ac:dyDescent="0.25">
      <c r="E1486"/>
    </row>
    <row r="1487" spans="5:5" x14ac:dyDescent="0.25">
      <c r="E1487"/>
    </row>
    <row r="1488" spans="5:5" x14ac:dyDescent="0.25">
      <c r="E1488"/>
    </row>
    <row r="1489" spans="5:5" x14ac:dyDescent="0.25">
      <c r="E1489"/>
    </row>
    <row r="1490" spans="5:5" x14ac:dyDescent="0.25">
      <c r="E1490"/>
    </row>
    <row r="1491" spans="5:5" x14ac:dyDescent="0.25">
      <c r="E1491"/>
    </row>
    <row r="1492" spans="5:5" x14ac:dyDescent="0.25">
      <c r="E1492"/>
    </row>
    <row r="1493" spans="5:5" x14ac:dyDescent="0.25">
      <c r="E1493"/>
    </row>
    <row r="1494" spans="5:5" x14ac:dyDescent="0.25">
      <c r="E1494"/>
    </row>
    <row r="1495" spans="5:5" x14ac:dyDescent="0.25">
      <c r="E1495"/>
    </row>
    <row r="1496" spans="5:5" x14ac:dyDescent="0.25">
      <c r="E1496"/>
    </row>
    <row r="1497" spans="5:5" x14ac:dyDescent="0.25">
      <c r="E1497"/>
    </row>
    <row r="1498" spans="5:5" x14ac:dyDescent="0.25">
      <c r="E1498"/>
    </row>
    <row r="1499" spans="5:5" x14ac:dyDescent="0.25">
      <c r="E1499"/>
    </row>
    <row r="1500" spans="5:5" x14ac:dyDescent="0.25">
      <c r="E1500"/>
    </row>
    <row r="1501" spans="5:5" x14ac:dyDescent="0.25">
      <c r="E1501"/>
    </row>
    <row r="1502" spans="5:5" x14ac:dyDescent="0.25">
      <c r="E1502"/>
    </row>
    <row r="1503" spans="5:5" x14ac:dyDescent="0.25">
      <c r="E1503"/>
    </row>
    <row r="1504" spans="5:5" x14ac:dyDescent="0.25">
      <c r="E1504"/>
    </row>
    <row r="1505" spans="5:5" x14ac:dyDescent="0.25">
      <c r="E1505"/>
    </row>
    <row r="1506" spans="5:5" x14ac:dyDescent="0.25">
      <c r="E1506"/>
    </row>
    <row r="1507" spans="5:5" x14ac:dyDescent="0.25">
      <c r="E1507"/>
    </row>
    <row r="1508" spans="5:5" x14ac:dyDescent="0.25">
      <c r="E1508"/>
    </row>
    <row r="1509" spans="5:5" x14ac:dyDescent="0.25">
      <c r="E1509"/>
    </row>
    <row r="1510" spans="5:5" x14ac:dyDescent="0.25">
      <c r="E1510"/>
    </row>
    <row r="1511" spans="5:5" x14ac:dyDescent="0.25">
      <c r="E1511"/>
    </row>
    <row r="1512" spans="5:5" x14ac:dyDescent="0.25">
      <c r="E1512"/>
    </row>
    <row r="1513" spans="5:5" x14ac:dyDescent="0.25">
      <c r="E1513"/>
    </row>
    <row r="1514" spans="5:5" x14ac:dyDescent="0.25">
      <c r="E1514"/>
    </row>
    <row r="1515" spans="5:5" x14ac:dyDescent="0.25">
      <c r="E1515"/>
    </row>
    <row r="1516" spans="5:5" x14ac:dyDescent="0.25">
      <c r="E1516"/>
    </row>
    <row r="1517" spans="5:5" x14ac:dyDescent="0.25">
      <c r="E1517"/>
    </row>
    <row r="1518" spans="5:5" x14ac:dyDescent="0.25">
      <c r="E1518"/>
    </row>
    <row r="1519" spans="5:5" x14ac:dyDescent="0.25">
      <c r="E1519"/>
    </row>
    <row r="1520" spans="5:5" x14ac:dyDescent="0.25">
      <c r="E1520"/>
    </row>
    <row r="1521" spans="5:5" x14ac:dyDescent="0.25">
      <c r="E1521"/>
    </row>
    <row r="1522" spans="5:5" x14ac:dyDescent="0.25">
      <c r="E1522"/>
    </row>
    <row r="1523" spans="5:5" x14ac:dyDescent="0.25">
      <c r="E1523"/>
    </row>
    <row r="1524" spans="5:5" x14ac:dyDescent="0.25">
      <c r="E1524"/>
    </row>
    <row r="1525" spans="5:5" x14ac:dyDescent="0.25">
      <c r="E1525"/>
    </row>
    <row r="1526" spans="5:5" x14ac:dyDescent="0.25">
      <c r="E1526"/>
    </row>
    <row r="1527" spans="5:5" x14ac:dyDescent="0.25">
      <c r="E1527"/>
    </row>
    <row r="1528" spans="5:5" x14ac:dyDescent="0.25">
      <c r="E1528"/>
    </row>
    <row r="1529" spans="5:5" x14ac:dyDescent="0.25">
      <c r="E1529"/>
    </row>
    <row r="1530" spans="5:5" x14ac:dyDescent="0.25">
      <c r="E1530"/>
    </row>
    <row r="1531" spans="5:5" x14ac:dyDescent="0.25">
      <c r="E1531"/>
    </row>
    <row r="1532" spans="5:5" x14ac:dyDescent="0.25">
      <c r="E1532"/>
    </row>
    <row r="1533" spans="5:5" x14ac:dyDescent="0.25">
      <c r="E1533"/>
    </row>
    <row r="1534" spans="5:5" x14ac:dyDescent="0.25">
      <c r="E1534"/>
    </row>
    <row r="1535" spans="5:5" x14ac:dyDescent="0.25">
      <c r="E1535"/>
    </row>
    <row r="1536" spans="5:5" x14ac:dyDescent="0.25">
      <c r="E1536"/>
    </row>
    <row r="1537" spans="5:5" x14ac:dyDescent="0.25">
      <c r="E1537"/>
    </row>
    <row r="1538" spans="5:5" x14ac:dyDescent="0.25">
      <c r="E1538"/>
    </row>
    <row r="1539" spans="5:5" x14ac:dyDescent="0.25">
      <c r="E1539"/>
    </row>
    <row r="1540" spans="5:5" x14ac:dyDescent="0.25">
      <c r="E1540"/>
    </row>
    <row r="1541" spans="5:5" x14ac:dyDescent="0.25">
      <c r="E1541"/>
    </row>
    <row r="1542" spans="5:5" x14ac:dyDescent="0.25">
      <c r="E1542"/>
    </row>
    <row r="1543" spans="5:5" x14ac:dyDescent="0.25">
      <c r="E1543"/>
    </row>
    <row r="1544" spans="5:5" x14ac:dyDescent="0.25">
      <c r="E1544"/>
    </row>
    <row r="1545" spans="5:5" x14ac:dyDescent="0.25">
      <c r="E1545"/>
    </row>
    <row r="1546" spans="5:5" x14ac:dyDescent="0.25">
      <c r="E1546"/>
    </row>
    <row r="1547" spans="5:5" x14ac:dyDescent="0.25">
      <c r="E1547"/>
    </row>
    <row r="1548" spans="5:5" x14ac:dyDescent="0.25">
      <c r="E1548"/>
    </row>
    <row r="1549" spans="5:5" x14ac:dyDescent="0.25">
      <c r="E1549"/>
    </row>
    <row r="1550" spans="5:5" x14ac:dyDescent="0.25">
      <c r="E1550"/>
    </row>
    <row r="1551" spans="5:5" x14ac:dyDescent="0.25">
      <c r="E1551"/>
    </row>
    <row r="1552" spans="5:5" x14ac:dyDescent="0.25">
      <c r="E1552"/>
    </row>
    <row r="1553" spans="5:5" x14ac:dyDescent="0.25">
      <c r="E1553"/>
    </row>
    <row r="1554" spans="5:5" x14ac:dyDescent="0.25">
      <c r="E1554"/>
    </row>
    <row r="1555" spans="5:5" x14ac:dyDescent="0.25">
      <c r="E1555"/>
    </row>
    <row r="1556" spans="5:5" x14ac:dyDescent="0.25">
      <c r="E1556"/>
    </row>
    <row r="1557" spans="5:5" x14ac:dyDescent="0.25">
      <c r="E1557"/>
    </row>
    <row r="1558" spans="5:5" x14ac:dyDescent="0.25">
      <c r="E1558"/>
    </row>
    <row r="1559" spans="5:5" x14ac:dyDescent="0.25">
      <c r="E1559"/>
    </row>
    <row r="1560" spans="5:5" x14ac:dyDescent="0.25">
      <c r="E1560"/>
    </row>
    <row r="1561" spans="5:5" x14ac:dyDescent="0.25">
      <c r="E1561"/>
    </row>
    <row r="1562" spans="5:5" x14ac:dyDescent="0.25">
      <c r="E1562"/>
    </row>
    <row r="1563" spans="5:5" x14ac:dyDescent="0.25">
      <c r="E1563"/>
    </row>
    <row r="1564" spans="5:5" x14ac:dyDescent="0.25">
      <c r="E1564"/>
    </row>
    <row r="1565" spans="5:5" x14ac:dyDescent="0.25">
      <c r="E1565"/>
    </row>
    <row r="1566" spans="5:5" x14ac:dyDescent="0.25">
      <c r="E1566"/>
    </row>
    <row r="1567" spans="5:5" x14ac:dyDescent="0.25">
      <c r="E1567"/>
    </row>
    <row r="1568" spans="5:5" x14ac:dyDescent="0.25">
      <c r="E1568"/>
    </row>
    <row r="1569" spans="5:5" x14ac:dyDescent="0.25">
      <c r="E1569"/>
    </row>
    <row r="1570" spans="5:5" x14ac:dyDescent="0.25">
      <c r="E1570"/>
    </row>
    <row r="1571" spans="5:5" x14ac:dyDescent="0.25">
      <c r="E1571"/>
    </row>
    <row r="1572" spans="5:5" x14ac:dyDescent="0.25">
      <c r="E1572"/>
    </row>
    <row r="1573" spans="5:5" x14ac:dyDescent="0.25">
      <c r="E1573"/>
    </row>
    <row r="1574" spans="5:5" x14ac:dyDescent="0.25">
      <c r="E1574"/>
    </row>
    <row r="1575" spans="5:5" x14ac:dyDescent="0.25">
      <c r="E1575"/>
    </row>
    <row r="1576" spans="5:5" x14ac:dyDescent="0.25">
      <c r="E1576"/>
    </row>
    <row r="1577" spans="5:5" x14ac:dyDescent="0.25">
      <c r="E1577"/>
    </row>
    <row r="1578" spans="5:5" x14ac:dyDescent="0.25">
      <c r="E1578"/>
    </row>
    <row r="1579" spans="5:5" x14ac:dyDescent="0.25">
      <c r="E1579"/>
    </row>
    <row r="1580" spans="5:5" x14ac:dyDescent="0.25">
      <c r="E1580"/>
    </row>
    <row r="1581" spans="5:5" x14ac:dyDescent="0.25">
      <c r="E1581"/>
    </row>
    <row r="1582" spans="5:5" x14ac:dyDescent="0.25">
      <c r="E1582"/>
    </row>
    <row r="1583" spans="5:5" x14ac:dyDescent="0.25">
      <c r="E1583"/>
    </row>
    <row r="1584" spans="5:5" x14ac:dyDescent="0.25">
      <c r="E1584"/>
    </row>
    <row r="1585" spans="5:5" x14ac:dyDescent="0.25">
      <c r="E1585"/>
    </row>
    <row r="1586" spans="5:5" x14ac:dyDescent="0.25">
      <c r="E1586"/>
    </row>
    <row r="1587" spans="5:5" x14ac:dyDescent="0.25">
      <c r="E1587"/>
    </row>
    <row r="1588" spans="5:5" x14ac:dyDescent="0.25">
      <c r="E1588"/>
    </row>
    <row r="1589" spans="5:5" x14ac:dyDescent="0.25">
      <c r="E1589"/>
    </row>
    <row r="1590" spans="5:5" x14ac:dyDescent="0.25">
      <c r="E1590"/>
    </row>
    <row r="1591" spans="5:5" x14ac:dyDescent="0.25">
      <c r="E1591"/>
    </row>
    <row r="1592" spans="5:5" x14ac:dyDescent="0.25">
      <c r="E1592"/>
    </row>
    <row r="1593" spans="5:5" x14ac:dyDescent="0.25">
      <c r="E1593"/>
    </row>
    <row r="1594" spans="5:5" x14ac:dyDescent="0.25">
      <c r="E1594"/>
    </row>
    <row r="1595" spans="5:5" x14ac:dyDescent="0.25">
      <c r="E1595"/>
    </row>
    <row r="1596" spans="5:5" x14ac:dyDescent="0.25">
      <c r="E1596"/>
    </row>
    <row r="1597" spans="5:5" x14ac:dyDescent="0.25">
      <c r="E1597"/>
    </row>
    <row r="1598" spans="5:5" x14ac:dyDescent="0.25">
      <c r="E1598"/>
    </row>
    <row r="1599" spans="5:5" x14ac:dyDescent="0.25">
      <c r="E1599"/>
    </row>
    <row r="1600" spans="5:5" x14ac:dyDescent="0.25">
      <c r="E1600"/>
    </row>
    <row r="1601" spans="5:5" x14ac:dyDescent="0.25">
      <c r="E1601"/>
    </row>
    <row r="1602" spans="5:5" x14ac:dyDescent="0.25">
      <c r="E1602"/>
    </row>
    <row r="1603" spans="5:5" x14ac:dyDescent="0.25">
      <c r="E1603"/>
    </row>
    <row r="1604" spans="5:5" x14ac:dyDescent="0.25">
      <c r="E1604"/>
    </row>
    <row r="1605" spans="5:5" x14ac:dyDescent="0.25">
      <c r="E1605"/>
    </row>
    <row r="1606" spans="5:5" x14ac:dyDescent="0.25">
      <c r="E1606"/>
    </row>
    <row r="1607" spans="5:5" x14ac:dyDescent="0.25">
      <c r="E1607"/>
    </row>
    <row r="1608" spans="5:5" x14ac:dyDescent="0.25">
      <c r="E1608"/>
    </row>
    <row r="1609" spans="5:5" x14ac:dyDescent="0.25">
      <c r="E1609"/>
    </row>
    <row r="1610" spans="5:5" x14ac:dyDescent="0.25">
      <c r="E1610"/>
    </row>
    <row r="1611" spans="5:5" x14ac:dyDescent="0.25">
      <c r="E1611"/>
    </row>
    <row r="1612" spans="5:5" x14ac:dyDescent="0.25">
      <c r="E1612"/>
    </row>
    <row r="1613" spans="5:5" x14ac:dyDescent="0.25">
      <c r="E1613"/>
    </row>
    <row r="1614" spans="5:5" x14ac:dyDescent="0.25">
      <c r="E1614"/>
    </row>
    <row r="1615" spans="5:5" x14ac:dyDescent="0.25">
      <c r="E1615"/>
    </row>
    <row r="1616" spans="5:5" x14ac:dyDescent="0.25">
      <c r="E1616"/>
    </row>
    <row r="1617" spans="5:5" x14ac:dyDescent="0.25">
      <c r="E1617"/>
    </row>
    <row r="1618" spans="5:5" x14ac:dyDescent="0.25">
      <c r="E1618"/>
    </row>
    <row r="1619" spans="5:5" x14ac:dyDescent="0.25">
      <c r="E1619"/>
    </row>
    <row r="1620" spans="5:5" x14ac:dyDescent="0.25">
      <c r="E1620"/>
    </row>
    <row r="1621" spans="5:5" x14ac:dyDescent="0.25">
      <c r="E1621"/>
    </row>
    <row r="1622" spans="5:5" x14ac:dyDescent="0.25">
      <c r="E1622"/>
    </row>
    <row r="1623" spans="5:5" x14ac:dyDescent="0.25">
      <c r="E1623"/>
    </row>
    <row r="1624" spans="5:5" x14ac:dyDescent="0.25">
      <c r="E1624"/>
    </row>
    <row r="1625" spans="5:5" x14ac:dyDescent="0.25">
      <c r="E1625"/>
    </row>
    <row r="1626" spans="5:5" x14ac:dyDescent="0.25">
      <c r="E1626"/>
    </row>
    <row r="1627" spans="5:5" x14ac:dyDescent="0.25">
      <c r="E1627"/>
    </row>
    <row r="1628" spans="5:5" x14ac:dyDescent="0.25">
      <c r="E1628"/>
    </row>
    <row r="1629" spans="5:5" x14ac:dyDescent="0.25">
      <c r="E1629"/>
    </row>
    <row r="1630" spans="5:5" x14ac:dyDescent="0.25">
      <c r="E1630"/>
    </row>
    <row r="1631" spans="5:5" x14ac:dyDescent="0.25">
      <c r="E1631"/>
    </row>
    <row r="1632" spans="5:5" x14ac:dyDescent="0.25">
      <c r="E1632"/>
    </row>
    <row r="1633" spans="5:5" x14ac:dyDescent="0.25">
      <c r="E1633"/>
    </row>
    <row r="1634" spans="5:5" x14ac:dyDescent="0.25">
      <c r="E1634"/>
    </row>
    <row r="1635" spans="5:5" x14ac:dyDescent="0.25">
      <c r="E1635"/>
    </row>
    <row r="1636" spans="5:5" x14ac:dyDescent="0.25">
      <c r="E1636"/>
    </row>
    <row r="1637" spans="5:5" x14ac:dyDescent="0.25">
      <c r="E1637"/>
    </row>
    <row r="1638" spans="5:5" x14ac:dyDescent="0.25">
      <c r="E1638"/>
    </row>
    <row r="1639" spans="5:5" x14ac:dyDescent="0.25">
      <c r="E1639"/>
    </row>
    <row r="1640" spans="5:5" x14ac:dyDescent="0.25">
      <c r="E1640"/>
    </row>
    <row r="1641" spans="5:5" x14ac:dyDescent="0.25">
      <c r="E1641"/>
    </row>
    <row r="1642" spans="5:5" x14ac:dyDescent="0.25">
      <c r="E1642"/>
    </row>
    <row r="1643" spans="5:5" x14ac:dyDescent="0.25">
      <c r="E1643"/>
    </row>
    <row r="1644" spans="5:5" x14ac:dyDescent="0.25">
      <c r="E1644"/>
    </row>
    <row r="1645" spans="5:5" x14ac:dyDescent="0.25">
      <c r="E1645"/>
    </row>
    <row r="1646" spans="5:5" x14ac:dyDescent="0.25">
      <c r="E1646"/>
    </row>
    <row r="1647" spans="5:5" x14ac:dyDescent="0.25">
      <c r="E1647"/>
    </row>
    <row r="1648" spans="5:5" x14ac:dyDescent="0.25">
      <c r="E1648"/>
    </row>
    <row r="1649" spans="5:5" x14ac:dyDescent="0.25">
      <c r="E1649"/>
    </row>
    <row r="1650" spans="5:5" x14ac:dyDescent="0.25">
      <c r="E1650"/>
    </row>
    <row r="1651" spans="5:5" x14ac:dyDescent="0.25">
      <c r="E1651"/>
    </row>
    <row r="1652" spans="5:5" x14ac:dyDescent="0.25">
      <c r="E1652"/>
    </row>
    <row r="1653" spans="5:5" x14ac:dyDescent="0.25">
      <c r="E1653"/>
    </row>
    <row r="1654" spans="5:5" x14ac:dyDescent="0.25">
      <c r="E1654"/>
    </row>
    <row r="1655" spans="5:5" x14ac:dyDescent="0.25">
      <c r="E1655"/>
    </row>
    <row r="1656" spans="5:5" x14ac:dyDescent="0.25">
      <c r="E1656"/>
    </row>
    <row r="1657" spans="5:5" x14ac:dyDescent="0.25">
      <c r="E1657"/>
    </row>
    <row r="1658" spans="5:5" x14ac:dyDescent="0.25">
      <c r="E1658"/>
    </row>
    <row r="1659" spans="5:5" x14ac:dyDescent="0.25">
      <c r="E1659"/>
    </row>
    <row r="1660" spans="5:5" x14ac:dyDescent="0.25">
      <c r="E1660"/>
    </row>
    <row r="1661" spans="5:5" x14ac:dyDescent="0.25">
      <c r="E1661"/>
    </row>
    <row r="1662" spans="5:5" x14ac:dyDescent="0.25">
      <c r="E1662"/>
    </row>
    <row r="1663" spans="5:5" x14ac:dyDescent="0.25">
      <c r="E1663"/>
    </row>
    <row r="1664" spans="5:5" x14ac:dyDescent="0.25">
      <c r="E1664"/>
    </row>
    <row r="1665" spans="5:5" x14ac:dyDescent="0.25">
      <c r="E1665"/>
    </row>
    <row r="1666" spans="5:5" x14ac:dyDescent="0.25">
      <c r="E1666"/>
    </row>
    <row r="1667" spans="5:5" x14ac:dyDescent="0.25">
      <c r="E1667"/>
    </row>
    <row r="1668" spans="5:5" x14ac:dyDescent="0.25">
      <c r="E1668"/>
    </row>
    <row r="1669" spans="5:5" x14ac:dyDescent="0.25">
      <c r="E1669"/>
    </row>
    <row r="1670" spans="5:5" x14ac:dyDescent="0.25">
      <c r="E1670"/>
    </row>
    <row r="1671" spans="5:5" x14ac:dyDescent="0.25">
      <c r="E1671"/>
    </row>
    <row r="1672" spans="5:5" x14ac:dyDescent="0.25">
      <c r="E1672"/>
    </row>
    <row r="1673" spans="5:5" x14ac:dyDescent="0.25">
      <c r="E1673"/>
    </row>
    <row r="1674" spans="5:5" x14ac:dyDescent="0.25">
      <c r="E1674"/>
    </row>
    <row r="1675" spans="5:5" x14ac:dyDescent="0.25">
      <c r="E1675"/>
    </row>
    <row r="1676" spans="5:5" x14ac:dyDescent="0.25">
      <c r="E1676"/>
    </row>
    <row r="1677" spans="5:5" x14ac:dyDescent="0.25">
      <c r="E1677"/>
    </row>
    <row r="1678" spans="5:5" x14ac:dyDescent="0.25">
      <c r="E1678"/>
    </row>
    <row r="1679" spans="5:5" x14ac:dyDescent="0.25">
      <c r="E1679"/>
    </row>
    <row r="1680" spans="5:5" x14ac:dyDescent="0.25">
      <c r="E1680"/>
    </row>
    <row r="1681" spans="5:5" x14ac:dyDescent="0.25">
      <c r="E1681"/>
    </row>
    <row r="1682" spans="5:5" x14ac:dyDescent="0.25">
      <c r="E1682"/>
    </row>
    <row r="1683" spans="5:5" x14ac:dyDescent="0.25">
      <c r="E1683"/>
    </row>
    <row r="1684" spans="5:5" x14ac:dyDescent="0.25">
      <c r="E1684"/>
    </row>
    <row r="1685" spans="5:5" x14ac:dyDescent="0.25">
      <c r="E1685"/>
    </row>
    <row r="1686" spans="5:5" x14ac:dyDescent="0.25">
      <c r="E1686"/>
    </row>
    <row r="1687" spans="5:5" x14ac:dyDescent="0.25">
      <c r="E1687"/>
    </row>
    <row r="1688" spans="5:5" x14ac:dyDescent="0.25">
      <c r="E1688"/>
    </row>
    <row r="1689" spans="5:5" x14ac:dyDescent="0.25">
      <c r="E1689"/>
    </row>
    <row r="1690" spans="5:5" x14ac:dyDescent="0.25">
      <c r="E1690"/>
    </row>
    <row r="1691" spans="5:5" x14ac:dyDescent="0.25">
      <c r="E1691"/>
    </row>
    <row r="1692" spans="5:5" x14ac:dyDescent="0.25">
      <c r="E1692"/>
    </row>
    <row r="1693" spans="5:5" x14ac:dyDescent="0.25">
      <c r="E1693"/>
    </row>
    <row r="1694" spans="5:5" x14ac:dyDescent="0.25">
      <c r="E1694"/>
    </row>
    <row r="1695" spans="5:5" x14ac:dyDescent="0.25">
      <c r="E1695"/>
    </row>
    <row r="1696" spans="5:5" x14ac:dyDescent="0.25">
      <c r="E1696"/>
    </row>
    <row r="1697" spans="5:5" x14ac:dyDescent="0.25">
      <c r="E1697"/>
    </row>
    <row r="1698" spans="5:5" x14ac:dyDescent="0.25">
      <c r="E1698"/>
    </row>
    <row r="1699" spans="5:5" x14ac:dyDescent="0.25">
      <c r="E1699"/>
    </row>
    <row r="1700" spans="5:5" x14ac:dyDescent="0.25">
      <c r="E1700"/>
    </row>
    <row r="1701" spans="5:5" x14ac:dyDescent="0.25">
      <c r="E1701"/>
    </row>
    <row r="1702" spans="5:5" x14ac:dyDescent="0.25">
      <c r="E1702"/>
    </row>
    <row r="1703" spans="5:5" x14ac:dyDescent="0.25">
      <c r="E1703"/>
    </row>
    <row r="1704" spans="5:5" x14ac:dyDescent="0.25">
      <c r="E1704"/>
    </row>
    <row r="1705" spans="5:5" x14ac:dyDescent="0.25">
      <c r="E1705"/>
    </row>
    <row r="1706" spans="5:5" x14ac:dyDescent="0.25">
      <c r="E1706"/>
    </row>
    <row r="1707" spans="5:5" x14ac:dyDescent="0.25">
      <c r="E1707"/>
    </row>
    <row r="1708" spans="5:5" x14ac:dyDescent="0.25">
      <c r="E1708"/>
    </row>
    <row r="1709" spans="5:5" x14ac:dyDescent="0.25">
      <c r="E1709"/>
    </row>
    <row r="1710" spans="5:5" x14ac:dyDescent="0.25">
      <c r="E1710"/>
    </row>
    <row r="1711" spans="5:5" x14ac:dyDescent="0.25">
      <c r="E1711"/>
    </row>
    <row r="1712" spans="5:5" x14ac:dyDescent="0.25">
      <c r="E1712"/>
    </row>
    <row r="1713" spans="5:5" x14ac:dyDescent="0.25">
      <c r="E1713"/>
    </row>
    <row r="1714" spans="5:5" x14ac:dyDescent="0.25">
      <c r="E1714"/>
    </row>
    <row r="1715" spans="5:5" x14ac:dyDescent="0.25">
      <c r="E1715"/>
    </row>
    <row r="1716" spans="5:5" x14ac:dyDescent="0.25">
      <c r="E1716"/>
    </row>
    <row r="1717" spans="5:5" x14ac:dyDescent="0.25">
      <c r="E1717"/>
    </row>
    <row r="1718" spans="5:5" x14ac:dyDescent="0.25">
      <c r="E1718"/>
    </row>
    <row r="1719" spans="5:5" x14ac:dyDescent="0.25">
      <c r="E1719"/>
    </row>
    <row r="1720" spans="5:5" x14ac:dyDescent="0.25">
      <c r="E1720"/>
    </row>
    <row r="1721" spans="5:5" x14ac:dyDescent="0.25">
      <c r="E1721"/>
    </row>
    <row r="1722" spans="5:5" x14ac:dyDescent="0.25">
      <c r="E1722"/>
    </row>
    <row r="1723" spans="5:5" x14ac:dyDescent="0.25">
      <c r="E1723"/>
    </row>
    <row r="1724" spans="5:5" x14ac:dyDescent="0.25">
      <c r="E1724"/>
    </row>
    <row r="1725" spans="5:5" x14ac:dyDescent="0.25">
      <c r="E1725"/>
    </row>
    <row r="1726" spans="5:5" x14ac:dyDescent="0.25">
      <c r="E1726"/>
    </row>
    <row r="1727" spans="5:5" x14ac:dyDescent="0.25">
      <c r="E1727"/>
    </row>
    <row r="1728" spans="5:5" x14ac:dyDescent="0.25">
      <c r="E1728"/>
    </row>
    <row r="1729" spans="5:5" x14ac:dyDescent="0.25">
      <c r="E1729"/>
    </row>
    <row r="1730" spans="5:5" x14ac:dyDescent="0.25">
      <c r="E1730"/>
    </row>
    <row r="1731" spans="5:5" x14ac:dyDescent="0.25">
      <c r="E1731"/>
    </row>
    <row r="1732" spans="5:5" x14ac:dyDescent="0.25">
      <c r="E1732"/>
    </row>
    <row r="1733" spans="5:5" x14ac:dyDescent="0.25">
      <c r="E1733"/>
    </row>
    <row r="1734" spans="5:5" x14ac:dyDescent="0.25">
      <c r="E1734"/>
    </row>
    <row r="1735" spans="5:5" x14ac:dyDescent="0.25">
      <c r="E1735"/>
    </row>
    <row r="1736" spans="5:5" x14ac:dyDescent="0.25">
      <c r="E1736"/>
    </row>
    <row r="1737" spans="5:5" x14ac:dyDescent="0.25">
      <c r="E1737"/>
    </row>
    <row r="1738" spans="5:5" x14ac:dyDescent="0.25">
      <c r="E1738"/>
    </row>
    <row r="1739" spans="5:5" x14ac:dyDescent="0.25">
      <c r="E1739"/>
    </row>
    <row r="1740" spans="5:5" x14ac:dyDescent="0.25">
      <c r="E1740"/>
    </row>
    <row r="1741" spans="5:5" x14ac:dyDescent="0.25">
      <c r="E1741"/>
    </row>
    <row r="1742" spans="5:5" x14ac:dyDescent="0.25">
      <c r="E1742"/>
    </row>
    <row r="1743" spans="5:5" x14ac:dyDescent="0.25">
      <c r="E1743"/>
    </row>
    <row r="1744" spans="5:5" x14ac:dyDescent="0.25">
      <c r="E1744"/>
    </row>
    <row r="1745" spans="5:5" x14ac:dyDescent="0.25">
      <c r="E1745"/>
    </row>
    <row r="1746" spans="5:5" x14ac:dyDescent="0.25">
      <c r="E1746"/>
    </row>
    <row r="1747" spans="5:5" x14ac:dyDescent="0.25">
      <c r="E1747"/>
    </row>
    <row r="1748" spans="5:5" x14ac:dyDescent="0.25">
      <c r="E1748"/>
    </row>
    <row r="1749" spans="5:5" x14ac:dyDescent="0.25">
      <c r="E1749"/>
    </row>
    <row r="1750" spans="5:5" x14ac:dyDescent="0.25">
      <c r="E1750"/>
    </row>
    <row r="1751" spans="5:5" x14ac:dyDescent="0.25">
      <c r="E1751"/>
    </row>
    <row r="1752" spans="5:5" x14ac:dyDescent="0.25">
      <c r="E1752"/>
    </row>
    <row r="1753" spans="5:5" x14ac:dyDescent="0.25">
      <c r="E1753"/>
    </row>
    <row r="1754" spans="5:5" x14ac:dyDescent="0.25">
      <c r="E1754"/>
    </row>
    <row r="1755" spans="5:5" x14ac:dyDescent="0.25">
      <c r="E1755"/>
    </row>
    <row r="1756" spans="5:5" x14ac:dyDescent="0.25">
      <c r="E1756"/>
    </row>
    <row r="1757" spans="5:5" x14ac:dyDescent="0.25">
      <c r="E1757"/>
    </row>
    <row r="1758" spans="5:5" x14ac:dyDescent="0.25">
      <c r="E1758"/>
    </row>
  </sheetData>
  <autoFilter ref="A1:J420" xr:uid="{2B842DCB-3AD8-4AED-B9D1-68A3890FA56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B801-768E-464B-9CA3-30DAD0231E87}">
  <dimension ref="A1:L420"/>
  <sheetViews>
    <sheetView topLeftCell="A368" zoomScale="80" zoomScaleNormal="80" workbookViewId="0">
      <selection activeCell="C385" sqref="C385"/>
    </sheetView>
  </sheetViews>
  <sheetFormatPr baseColWidth="10" defaultRowHeight="15" x14ac:dyDescent="0.25"/>
  <cols>
    <col min="2" max="2" width="82" bestFit="1" customWidth="1"/>
    <col min="3" max="3" width="14.7109375" customWidth="1"/>
    <col min="4" max="4" width="53.5703125" bestFit="1" customWidth="1"/>
    <col min="5" max="5" width="29.28515625" bestFit="1" customWidth="1"/>
    <col min="7" max="7" width="32.5703125" customWidth="1"/>
    <col min="8" max="8" width="24" customWidth="1"/>
    <col min="12" max="12" width="17.28515625" customWidth="1"/>
  </cols>
  <sheetData>
    <row r="1" spans="1:12" x14ac:dyDescent="0.25">
      <c r="A1" s="32" t="s">
        <v>0</v>
      </c>
      <c r="B1" s="32" t="s">
        <v>1</v>
      </c>
      <c r="C1" s="32" t="s">
        <v>2</v>
      </c>
      <c r="D1" s="32" t="s">
        <v>1278</v>
      </c>
      <c r="E1" s="32" t="s">
        <v>1279</v>
      </c>
      <c r="F1" s="32" t="s">
        <v>1280</v>
      </c>
      <c r="G1" s="32" t="s">
        <v>1281</v>
      </c>
      <c r="H1" s="32" t="s">
        <v>1282</v>
      </c>
      <c r="I1" s="32" t="s">
        <v>1283</v>
      </c>
      <c r="J1" s="32" t="s">
        <v>1284</v>
      </c>
      <c r="K1" s="33" t="s">
        <v>1285</v>
      </c>
      <c r="L1" s="32" t="s">
        <v>1286</v>
      </c>
    </row>
    <row r="2" spans="1:12" x14ac:dyDescent="0.25">
      <c r="A2" s="34">
        <v>1</v>
      </c>
      <c r="B2" s="35" t="s">
        <v>3</v>
      </c>
      <c r="C2" s="34">
        <v>26207080</v>
      </c>
      <c r="D2" s="34" t="s">
        <v>1287</v>
      </c>
      <c r="E2" s="34" t="s">
        <v>1288</v>
      </c>
      <c r="F2" s="34" t="s">
        <v>1289</v>
      </c>
      <c r="G2" s="36" t="s">
        <v>1290</v>
      </c>
      <c r="H2" s="34" t="s">
        <v>1291</v>
      </c>
      <c r="I2" s="34" t="s">
        <v>1292</v>
      </c>
      <c r="J2" s="34" t="s">
        <v>1293</v>
      </c>
      <c r="K2" s="37"/>
      <c r="L2" s="37"/>
    </row>
    <row r="3" spans="1:12" x14ac:dyDescent="0.25">
      <c r="A3" s="38">
        <v>2</v>
      </c>
      <c r="B3" s="39" t="s">
        <v>4</v>
      </c>
      <c r="C3" s="2">
        <v>26185050</v>
      </c>
      <c r="D3" s="34" t="s">
        <v>1287</v>
      </c>
      <c r="E3" s="2" t="s">
        <v>1294</v>
      </c>
      <c r="F3" s="2" t="s">
        <v>1289</v>
      </c>
      <c r="G3" s="36" t="s">
        <v>1290</v>
      </c>
      <c r="H3" s="34" t="s">
        <v>1291</v>
      </c>
      <c r="I3" s="34" t="s">
        <v>1292</v>
      </c>
      <c r="J3" s="34" t="s">
        <v>1295</v>
      </c>
      <c r="K3" s="37"/>
      <c r="L3" s="37"/>
    </row>
    <row r="4" spans="1:12" x14ac:dyDescent="0.25">
      <c r="A4" s="34">
        <v>3</v>
      </c>
      <c r="B4" s="35" t="s">
        <v>5</v>
      </c>
      <c r="C4" s="34">
        <v>27015280</v>
      </c>
      <c r="D4" s="34" t="s">
        <v>1287</v>
      </c>
      <c r="E4" s="34" t="s">
        <v>1296</v>
      </c>
      <c r="F4" s="34" t="s">
        <v>1289</v>
      </c>
      <c r="G4" s="34" t="s">
        <v>1297</v>
      </c>
      <c r="H4" s="34" t="s">
        <v>1291</v>
      </c>
      <c r="I4" s="34" t="s">
        <v>1292</v>
      </c>
      <c r="J4" s="34" t="s">
        <v>1295</v>
      </c>
      <c r="K4" s="37" t="s">
        <v>1298</v>
      </c>
      <c r="L4" s="37"/>
    </row>
    <row r="5" spans="1:12" x14ac:dyDescent="0.25">
      <c r="A5" s="34">
        <v>4</v>
      </c>
      <c r="B5" s="35" t="s">
        <v>6</v>
      </c>
      <c r="C5" s="34">
        <v>26247010</v>
      </c>
      <c r="D5" s="34" t="s">
        <v>1287</v>
      </c>
      <c r="E5" s="34" t="s">
        <v>1299</v>
      </c>
      <c r="F5" s="34" t="s">
        <v>1289</v>
      </c>
      <c r="G5" s="36" t="s">
        <v>1290</v>
      </c>
      <c r="H5" s="34" t="s">
        <v>1300</v>
      </c>
      <c r="I5" s="34" t="s">
        <v>1292</v>
      </c>
      <c r="J5" s="34" t="s">
        <v>1293</v>
      </c>
      <c r="K5" s="37"/>
      <c r="L5" s="37"/>
    </row>
    <row r="6" spans="1:12" x14ac:dyDescent="0.25">
      <c r="A6" s="34">
        <v>5</v>
      </c>
      <c r="B6" s="35" t="s">
        <v>7</v>
      </c>
      <c r="C6" s="34">
        <v>23085080</v>
      </c>
      <c r="D6" s="34" t="s">
        <v>1287</v>
      </c>
      <c r="E6" s="34" t="s">
        <v>1301</v>
      </c>
      <c r="F6" s="34" t="s">
        <v>1289</v>
      </c>
      <c r="G6" s="36" t="s">
        <v>1290</v>
      </c>
      <c r="H6" s="34" t="s">
        <v>1291</v>
      </c>
      <c r="I6" s="34" t="s">
        <v>1292</v>
      </c>
      <c r="J6" s="34" t="s">
        <v>1295</v>
      </c>
      <c r="K6" s="37"/>
      <c r="L6" s="37"/>
    </row>
    <row r="7" spans="1:12" x14ac:dyDescent="0.25">
      <c r="A7" s="34">
        <v>6</v>
      </c>
      <c r="B7" s="35" t="s">
        <v>8</v>
      </c>
      <c r="C7" s="34">
        <v>11027030</v>
      </c>
      <c r="D7" s="34" t="s">
        <v>1287</v>
      </c>
      <c r="E7" s="34" t="s">
        <v>1302</v>
      </c>
      <c r="F7" s="34" t="s">
        <v>1303</v>
      </c>
      <c r="G7" s="36" t="s">
        <v>1290</v>
      </c>
      <c r="H7" s="34" t="s">
        <v>1291</v>
      </c>
      <c r="I7" s="34" t="s">
        <v>1292</v>
      </c>
      <c r="J7" s="34" t="s">
        <v>1293</v>
      </c>
      <c r="K7" s="37"/>
      <c r="L7" s="37"/>
    </row>
    <row r="8" spans="1:12" x14ac:dyDescent="0.25">
      <c r="A8" s="34">
        <v>7</v>
      </c>
      <c r="B8" s="35" t="s">
        <v>9</v>
      </c>
      <c r="C8" s="34">
        <v>23087150</v>
      </c>
      <c r="D8" s="34" t="s">
        <v>1287</v>
      </c>
      <c r="E8" s="34" t="s">
        <v>1304</v>
      </c>
      <c r="F8" s="34" t="s">
        <v>1289</v>
      </c>
      <c r="G8" s="36" t="s">
        <v>1290</v>
      </c>
      <c r="H8" s="34" t="s">
        <v>1291</v>
      </c>
      <c r="I8" s="34" t="s">
        <v>1292</v>
      </c>
      <c r="J8" s="34" t="s">
        <v>1293</v>
      </c>
      <c r="K8" s="37"/>
      <c r="L8" s="37"/>
    </row>
    <row r="9" spans="1:12" x14ac:dyDescent="0.25">
      <c r="A9" s="34">
        <v>8</v>
      </c>
      <c r="B9" s="35" t="s">
        <v>10</v>
      </c>
      <c r="C9" s="34">
        <v>27027060</v>
      </c>
      <c r="D9" s="34" t="s">
        <v>1287</v>
      </c>
      <c r="E9" s="34" t="s">
        <v>1305</v>
      </c>
      <c r="F9" s="34" t="s">
        <v>1289</v>
      </c>
      <c r="G9" s="36" t="s">
        <v>1290</v>
      </c>
      <c r="H9" s="34" t="s">
        <v>1291</v>
      </c>
      <c r="I9" s="34" t="s">
        <v>1292</v>
      </c>
      <c r="J9" s="34" t="s">
        <v>1293</v>
      </c>
      <c r="K9" s="37"/>
      <c r="L9" s="37"/>
    </row>
    <row r="10" spans="1:12" x14ac:dyDescent="0.25">
      <c r="A10" s="38">
        <v>9</v>
      </c>
      <c r="B10" s="35" t="s">
        <v>11</v>
      </c>
      <c r="C10" s="34">
        <v>11047020</v>
      </c>
      <c r="D10" s="34" t="s">
        <v>1287</v>
      </c>
      <c r="E10" s="34" t="s">
        <v>1306</v>
      </c>
      <c r="F10" s="34" t="s">
        <v>1303</v>
      </c>
      <c r="G10" s="34" t="s">
        <v>1297</v>
      </c>
      <c r="H10" s="34" t="s">
        <v>1291</v>
      </c>
      <c r="I10" s="34" t="s">
        <v>1292</v>
      </c>
      <c r="J10" s="34" t="s">
        <v>1293</v>
      </c>
      <c r="K10" s="37">
        <v>46119</v>
      </c>
      <c r="L10" s="37"/>
    </row>
    <row r="11" spans="1:12" ht="25.5" x14ac:dyDescent="0.25">
      <c r="A11" s="34">
        <v>10</v>
      </c>
      <c r="B11" s="35" t="s">
        <v>12</v>
      </c>
      <c r="C11" s="34">
        <v>2702500107</v>
      </c>
      <c r="D11" s="35" t="s">
        <v>1287</v>
      </c>
      <c r="E11" s="35" t="s">
        <v>1305</v>
      </c>
      <c r="F11" s="35" t="s">
        <v>1289</v>
      </c>
      <c r="G11" s="40" t="s">
        <v>1307</v>
      </c>
      <c r="H11" s="35" t="s">
        <v>1308</v>
      </c>
      <c r="I11" s="35" t="s">
        <v>1309</v>
      </c>
      <c r="J11" s="35" t="s">
        <v>1295</v>
      </c>
      <c r="K11" s="41">
        <v>45881</v>
      </c>
      <c r="L11" s="42" t="s">
        <v>1310</v>
      </c>
    </row>
    <row r="12" spans="1:12" x14ac:dyDescent="0.25">
      <c r="A12" s="34">
        <v>11</v>
      </c>
      <c r="B12" s="35" t="s">
        <v>13</v>
      </c>
      <c r="C12" s="34">
        <v>1111500036</v>
      </c>
      <c r="D12" s="34" t="s">
        <v>1287</v>
      </c>
      <c r="E12" s="34" t="s">
        <v>1311</v>
      </c>
      <c r="F12" s="34" t="s">
        <v>1289</v>
      </c>
      <c r="G12" s="36" t="s">
        <v>1290</v>
      </c>
      <c r="H12" s="34" t="s">
        <v>1291</v>
      </c>
      <c r="I12" s="34" t="s">
        <v>1292</v>
      </c>
      <c r="J12" s="34" t="s">
        <v>1295</v>
      </c>
      <c r="K12" s="37"/>
      <c r="L12" s="37"/>
    </row>
    <row r="13" spans="1:12" x14ac:dyDescent="0.25">
      <c r="A13" s="34">
        <v>12</v>
      </c>
      <c r="B13" s="35" t="s">
        <v>14</v>
      </c>
      <c r="C13" s="34">
        <v>26247020</v>
      </c>
      <c r="D13" s="34" t="s">
        <v>1287</v>
      </c>
      <c r="E13" s="34" t="s">
        <v>1312</v>
      </c>
      <c r="F13" s="34" t="s">
        <v>1289</v>
      </c>
      <c r="G13" s="36" t="s">
        <v>1290</v>
      </c>
      <c r="H13" s="34" t="s">
        <v>1291</v>
      </c>
      <c r="I13" s="34" t="s">
        <v>1292</v>
      </c>
      <c r="J13" s="34" t="s">
        <v>1293</v>
      </c>
      <c r="K13" s="37"/>
      <c r="L13" s="37"/>
    </row>
    <row r="14" spans="1:12" x14ac:dyDescent="0.25">
      <c r="A14" s="34">
        <v>13</v>
      </c>
      <c r="B14" s="35" t="s">
        <v>15</v>
      </c>
      <c r="C14" s="34">
        <v>11117050</v>
      </c>
      <c r="D14" s="34" t="s">
        <v>1287</v>
      </c>
      <c r="E14" s="34" t="s">
        <v>1313</v>
      </c>
      <c r="F14" s="34" t="s">
        <v>1289</v>
      </c>
      <c r="G14" s="36" t="s">
        <v>1290</v>
      </c>
      <c r="H14" s="34" t="s">
        <v>1291</v>
      </c>
      <c r="I14" s="34" t="s">
        <v>1292</v>
      </c>
      <c r="J14" s="34" t="s">
        <v>1293</v>
      </c>
      <c r="K14" s="37"/>
      <c r="L14" s="37"/>
    </row>
    <row r="15" spans="1:12" x14ac:dyDescent="0.25">
      <c r="A15" s="34">
        <v>14</v>
      </c>
      <c r="B15" s="35" t="s">
        <v>16</v>
      </c>
      <c r="C15" s="34">
        <v>26255030</v>
      </c>
      <c r="D15" s="34" t="s">
        <v>1287</v>
      </c>
      <c r="E15" s="34" t="s">
        <v>1314</v>
      </c>
      <c r="F15" s="34" t="s">
        <v>1289</v>
      </c>
      <c r="G15" s="36" t="s">
        <v>1290</v>
      </c>
      <c r="H15" s="34" t="s">
        <v>1291</v>
      </c>
      <c r="I15" s="34" t="s">
        <v>1292</v>
      </c>
      <c r="J15" s="34" t="s">
        <v>1315</v>
      </c>
      <c r="K15" s="37"/>
      <c r="L15" s="37"/>
    </row>
    <row r="16" spans="1:12" x14ac:dyDescent="0.25">
      <c r="A16" s="34">
        <v>15</v>
      </c>
      <c r="B16" s="35" t="s">
        <v>17</v>
      </c>
      <c r="C16" s="34">
        <v>1111500203</v>
      </c>
      <c r="D16" s="34" t="s">
        <v>1287</v>
      </c>
      <c r="E16" s="34" t="s">
        <v>1313</v>
      </c>
      <c r="F16" s="34" t="s">
        <v>1289</v>
      </c>
      <c r="G16" s="36" t="s">
        <v>1290</v>
      </c>
      <c r="H16" s="34" t="s">
        <v>1300</v>
      </c>
      <c r="I16" s="34" t="s">
        <v>1292</v>
      </c>
      <c r="J16" s="34" t="s">
        <v>1295</v>
      </c>
      <c r="K16" s="37"/>
      <c r="L16" s="37"/>
    </row>
    <row r="17" spans="1:12" x14ac:dyDescent="0.25">
      <c r="A17" s="38">
        <v>16</v>
      </c>
      <c r="B17" s="35" t="s">
        <v>1316</v>
      </c>
      <c r="C17" s="34">
        <v>11035010</v>
      </c>
      <c r="D17" s="34" t="s">
        <v>1287</v>
      </c>
      <c r="E17" s="34" t="s">
        <v>1317</v>
      </c>
      <c r="F17" s="34" t="s">
        <v>1303</v>
      </c>
      <c r="G17" s="36" t="s">
        <v>1290</v>
      </c>
      <c r="H17" s="34" t="s">
        <v>1291</v>
      </c>
      <c r="I17" s="34" t="s">
        <v>1292</v>
      </c>
      <c r="J17" s="34" t="s">
        <v>1295</v>
      </c>
      <c r="K17" s="37"/>
      <c r="L17" s="37"/>
    </row>
    <row r="18" spans="1:12" x14ac:dyDescent="0.25">
      <c r="A18" s="34">
        <v>17</v>
      </c>
      <c r="B18" s="35" t="s">
        <v>19</v>
      </c>
      <c r="C18" s="34">
        <v>23105070</v>
      </c>
      <c r="D18" s="34" t="s">
        <v>1287</v>
      </c>
      <c r="E18" s="34" t="s">
        <v>1318</v>
      </c>
      <c r="F18" s="34" t="s">
        <v>1289</v>
      </c>
      <c r="G18" s="36" t="s">
        <v>1290</v>
      </c>
      <c r="H18" s="34" t="s">
        <v>1291</v>
      </c>
      <c r="I18" s="34" t="s">
        <v>1292</v>
      </c>
      <c r="J18" s="34" t="s">
        <v>1295</v>
      </c>
      <c r="K18" s="37"/>
      <c r="L18" s="37"/>
    </row>
    <row r="19" spans="1:12" x14ac:dyDescent="0.25">
      <c r="A19" s="34">
        <v>18</v>
      </c>
      <c r="B19" s="35" t="s">
        <v>20</v>
      </c>
      <c r="C19" s="34">
        <v>26180180</v>
      </c>
      <c r="D19" s="34" t="s">
        <v>1287</v>
      </c>
      <c r="E19" s="34" t="s">
        <v>1319</v>
      </c>
      <c r="F19" s="34" t="s">
        <v>1289</v>
      </c>
      <c r="G19" s="36" t="s">
        <v>1290</v>
      </c>
      <c r="H19" s="34" t="s">
        <v>1291</v>
      </c>
      <c r="I19" s="34" t="s">
        <v>1292</v>
      </c>
      <c r="J19" s="34" t="s">
        <v>1320</v>
      </c>
      <c r="K19" s="37"/>
      <c r="L19" s="37"/>
    </row>
    <row r="20" spans="1:12" x14ac:dyDescent="0.25">
      <c r="A20" s="34">
        <v>19</v>
      </c>
      <c r="B20" s="35" t="s">
        <v>21</v>
      </c>
      <c r="C20" s="34">
        <v>27015320</v>
      </c>
      <c r="D20" s="34" t="s">
        <v>1287</v>
      </c>
      <c r="E20" s="34" t="s">
        <v>1321</v>
      </c>
      <c r="F20" s="34" t="s">
        <v>1289</v>
      </c>
      <c r="G20" s="36" t="s">
        <v>1290</v>
      </c>
      <c r="H20" s="34" t="s">
        <v>1291</v>
      </c>
      <c r="I20" s="34" t="s">
        <v>1292</v>
      </c>
      <c r="J20" s="34" t="s">
        <v>1315</v>
      </c>
      <c r="K20" s="37"/>
      <c r="L20" s="37"/>
    </row>
    <row r="21" spans="1:12" x14ac:dyDescent="0.25">
      <c r="A21" s="34">
        <v>20</v>
      </c>
      <c r="B21" s="35" t="s">
        <v>22</v>
      </c>
      <c r="C21" s="34">
        <v>25027050</v>
      </c>
      <c r="D21" s="34" t="s">
        <v>1287</v>
      </c>
      <c r="E21" s="34" t="s">
        <v>1312</v>
      </c>
      <c r="F21" s="34" t="s">
        <v>1289</v>
      </c>
      <c r="G21" s="36" t="s">
        <v>1290</v>
      </c>
      <c r="H21" s="34" t="s">
        <v>1291</v>
      </c>
      <c r="I21" s="34" t="s">
        <v>1292</v>
      </c>
      <c r="J21" s="34" t="s">
        <v>1293</v>
      </c>
      <c r="K21" s="37"/>
      <c r="L21" s="37"/>
    </row>
    <row r="22" spans="1:12" x14ac:dyDescent="0.25">
      <c r="A22" s="34">
        <v>21</v>
      </c>
      <c r="B22" s="35" t="s">
        <v>23</v>
      </c>
      <c r="C22" s="34">
        <v>11057020</v>
      </c>
      <c r="D22" s="34" t="s">
        <v>1287</v>
      </c>
      <c r="E22" s="34" t="s">
        <v>1322</v>
      </c>
      <c r="F22" s="34" t="s">
        <v>1289</v>
      </c>
      <c r="G22" s="36" t="s">
        <v>1290</v>
      </c>
      <c r="H22" s="34" t="s">
        <v>1300</v>
      </c>
      <c r="I22" s="34" t="s">
        <v>1292</v>
      </c>
      <c r="J22" s="34" t="s">
        <v>1293</v>
      </c>
      <c r="K22" s="37">
        <v>46243</v>
      </c>
      <c r="L22" s="37"/>
    </row>
    <row r="23" spans="1:12" x14ac:dyDescent="0.25">
      <c r="A23" s="34">
        <v>22</v>
      </c>
      <c r="B23" s="35" t="s">
        <v>24</v>
      </c>
      <c r="C23" s="34">
        <v>23085260</v>
      </c>
      <c r="D23" s="34" t="s">
        <v>1287</v>
      </c>
      <c r="E23" s="34" t="s">
        <v>1304</v>
      </c>
      <c r="F23" s="34" t="s">
        <v>1289</v>
      </c>
      <c r="G23" s="36" t="s">
        <v>1290</v>
      </c>
      <c r="H23" s="34" t="s">
        <v>1291</v>
      </c>
      <c r="I23" s="34" t="s">
        <v>1292</v>
      </c>
      <c r="J23" s="34" t="s">
        <v>1315</v>
      </c>
      <c r="K23" s="37"/>
      <c r="L23" s="37"/>
    </row>
    <row r="24" spans="1:12" x14ac:dyDescent="0.25">
      <c r="A24" s="38">
        <v>23</v>
      </c>
      <c r="B24" s="35" t="s">
        <v>25</v>
      </c>
      <c r="C24" s="34">
        <v>26225060</v>
      </c>
      <c r="D24" s="34" t="s">
        <v>1287</v>
      </c>
      <c r="E24" s="34" t="s">
        <v>1323</v>
      </c>
      <c r="F24" s="34" t="s">
        <v>1289</v>
      </c>
      <c r="G24" s="36" t="s">
        <v>1290</v>
      </c>
      <c r="H24" s="34" t="s">
        <v>1291</v>
      </c>
      <c r="I24" s="34" t="s">
        <v>1292</v>
      </c>
      <c r="J24" s="34" t="s">
        <v>1315</v>
      </c>
      <c r="K24" s="43"/>
      <c r="L24" s="43"/>
    </row>
    <row r="25" spans="1:12" x14ac:dyDescent="0.25">
      <c r="A25" s="34">
        <v>24</v>
      </c>
      <c r="B25" s="35" t="s">
        <v>26</v>
      </c>
      <c r="C25" s="34">
        <v>27015310</v>
      </c>
      <c r="D25" s="34" t="s">
        <v>1287</v>
      </c>
      <c r="E25" s="34" t="s">
        <v>1324</v>
      </c>
      <c r="F25" s="34" t="s">
        <v>1289</v>
      </c>
      <c r="G25" s="36" t="s">
        <v>1290</v>
      </c>
      <c r="H25" s="34" t="s">
        <v>1291</v>
      </c>
      <c r="I25" s="34" t="s">
        <v>1292</v>
      </c>
      <c r="J25" s="34" t="s">
        <v>1295</v>
      </c>
      <c r="K25" s="37"/>
      <c r="L25" s="37"/>
    </row>
    <row r="26" spans="1:12" x14ac:dyDescent="0.25">
      <c r="A26" s="34">
        <v>25</v>
      </c>
      <c r="B26" s="35" t="s">
        <v>27</v>
      </c>
      <c r="C26" s="34">
        <v>26217010</v>
      </c>
      <c r="D26" s="34" t="s">
        <v>1287</v>
      </c>
      <c r="E26" s="34" t="s">
        <v>1323</v>
      </c>
      <c r="F26" s="34" t="s">
        <v>1289</v>
      </c>
      <c r="G26" s="36" t="s">
        <v>1290</v>
      </c>
      <c r="H26" s="34" t="s">
        <v>1291</v>
      </c>
      <c r="I26" s="34" t="s">
        <v>1292</v>
      </c>
      <c r="J26" s="34" t="s">
        <v>1293</v>
      </c>
      <c r="K26" s="37">
        <v>46243</v>
      </c>
      <c r="L26" s="37"/>
    </row>
    <row r="27" spans="1:12" x14ac:dyDescent="0.25">
      <c r="A27" s="34">
        <v>26</v>
      </c>
      <c r="B27" s="35" t="s">
        <v>28</v>
      </c>
      <c r="C27" s="34">
        <v>25017010</v>
      </c>
      <c r="D27" s="34" t="s">
        <v>1325</v>
      </c>
      <c r="E27" s="34" t="s">
        <v>1326</v>
      </c>
      <c r="F27" s="34" t="s">
        <v>1327</v>
      </c>
      <c r="G27" s="36" t="s">
        <v>1290</v>
      </c>
      <c r="H27" s="34" t="s">
        <v>1291</v>
      </c>
      <c r="I27" s="34" t="s">
        <v>1292</v>
      </c>
      <c r="J27" s="34" t="s">
        <v>1328</v>
      </c>
      <c r="K27" s="43"/>
      <c r="L27" s="34"/>
    </row>
    <row r="28" spans="1:12" x14ac:dyDescent="0.25">
      <c r="A28" s="34">
        <v>27</v>
      </c>
      <c r="B28" s="35" t="s">
        <v>29</v>
      </c>
      <c r="C28" s="34">
        <v>25017020</v>
      </c>
      <c r="D28" s="34" t="s">
        <v>1325</v>
      </c>
      <c r="E28" s="34" t="s">
        <v>1329</v>
      </c>
      <c r="F28" s="34" t="s">
        <v>1327</v>
      </c>
      <c r="G28" s="36" t="s">
        <v>1290</v>
      </c>
      <c r="H28" s="34" t="s">
        <v>1300</v>
      </c>
      <c r="I28" s="34" t="s">
        <v>1292</v>
      </c>
      <c r="J28" s="34" t="s">
        <v>1328</v>
      </c>
      <c r="K28" s="37"/>
      <c r="L28" s="37"/>
    </row>
    <row r="29" spans="1:12" x14ac:dyDescent="0.25">
      <c r="A29" s="34">
        <v>28</v>
      </c>
      <c r="B29" s="35" t="s">
        <v>30</v>
      </c>
      <c r="C29" s="34">
        <v>29035200</v>
      </c>
      <c r="D29" s="34" t="s">
        <v>1325</v>
      </c>
      <c r="E29" s="34" t="s">
        <v>1330</v>
      </c>
      <c r="F29" s="34" t="s">
        <v>1331</v>
      </c>
      <c r="G29" s="36" t="s">
        <v>1290</v>
      </c>
      <c r="H29" s="34" t="s">
        <v>1291</v>
      </c>
      <c r="I29" s="34" t="s">
        <v>1292</v>
      </c>
      <c r="J29" s="34" t="s">
        <v>1295</v>
      </c>
      <c r="K29" s="43"/>
      <c r="L29" s="43"/>
    </row>
    <row r="30" spans="1:12" x14ac:dyDescent="0.25">
      <c r="A30" s="34">
        <v>29</v>
      </c>
      <c r="B30" s="35" t="s">
        <v>31</v>
      </c>
      <c r="C30" s="34">
        <v>29015000</v>
      </c>
      <c r="D30" s="34" t="s">
        <v>1325</v>
      </c>
      <c r="E30" s="34" t="s">
        <v>1332</v>
      </c>
      <c r="F30" s="34" t="s">
        <v>1333</v>
      </c>
      <c r="G30" s="36" t="s">
        <v>1290</v>
      </c>
      <c r="H30" s="34" t="s">
        <v>1291</v>
      </c>
      <c r="I30" s="34" t="s">
        <v>1292</v>
      </c>
      <c r="J30" s="34" t="s">
        <v>1334</v>
      </c>
      <c r="K30" s="43"/>
      <c r="L30" s="43"/>
    </row>
    <row r="31" spans="1:12" x14ac:dyDescent="0.25">
      <c r="A31" s="38">
        <v>30</v>
      </c>
      <c r="B31" s="35" t="s">
        <v>32</v>
      </c>
      <c r="C31" s="34">
        <v>13067020</v>
      </c>
      <c r="D31" s="34" t="s">
        <v>1325</v>
      </c>
      <c r="E31" s="34" t="s">
        <v>1335</v>
      </c>
      <c r="F31" s="34" t="s">
        <v>1327</v>
      </c>
      <c r="G31" s="36" t="s">
        <v>1290</v>
      </c>
      <c r="H31" s="34" t="s">
        <v>1291</v>
      </c>
      <c r="I31" s="34" t="s">
        <v>1292</v>
      </c>
      <c r="J31" s="34" t="s">
        <v>1328</v>
      </c>
      <c r="K31" s="37"/>
      <c r="L31" s="37"/>
    </row>
    <row r="32" spans="1:12" x14ac:dyDescent="0.25">
      <c r="A32" s="34">
        <v>31</v>
      </c>
      <c r="B32" s="35" t="s">
        <v>33</v>
      </c>
      <c r="C32" s="34">
        <v>25017030</v>
      </c>
      <c r="D32" s="34" t="s">
        <v>1325</v>
      </c>
      <c r="E32" s="34" t="s">
        <v>1326</v>
      </c>
      <c r="F32" s="34" t="s">
        <v>1327</v>
      </c>
      <c r="G32" s="36" t="s">
        <v>1290</v>
      </c>
      <c r="H32" s="34" t="s">
        <v>1300</v>
      </c>
      <c r="I32" s="34" t="s">
        <v>1292</v>
      </c>
      <c r="J32" s="34" t="s">
        <v>1328</v>
      </c>
      <c r="K32" s="37"/>
      <c r="L32" s="37"/>
    </row>
    <row r="33" spans="1:12" x14ac:dyDescent="0.25">
      <c r="A33" s="34">
        <v>32</v>
      </c>
      <c r="B33" s="35" t="s">
        <v>34</v>
      </c>
      <c r="C33" s="34">
        <v>25025190</v>
      </c>
      <c r="D33" s="34" t="s">
        <v>1325</v>
      </c>
      <c r="E33" s="34" t="s">
        <v>1336</v>
      </c>
      <c r="F33" s="34" t="s">
        <v>1327</v>
      </c>
      <c r="G33" s="36" t="s">
        <v>1290</v>
      </c>
      <c r="H33" s="34" t="s">
        <v>1291</v>
      </c>
      <c r="I33" s="34" t="s">
        <v>1292</v>
      </c>
      <c r="J33" s="34" t="s">
        <v>1334</v>
      </c>
      <c r="K33" s="37"/>
      <c r="L33" s="37"/>
    </row>
    <row r="34" spans="1:12" x14ac:dyDescent="0.25">
      <c r="A34" s="34">
        <v>33</v>
      </c>
      <c r="B34" s="35" t="s">
        <v>35</v>
      </c>
      <c r="C34" s="34">
        <v>13027040</v>
      </c>
      <c r="D34" s="34" t="s">
        <v>1325</v>
      </c>
      <c r="E34" s="34" t="s">
        <v>1337</v>
      </c>
      <c r="F34" s="34" t="s">
        <v>1327</v>
      </c>
      <c r="G34" s="36" t="s">
        <v>1290</v>
      </c>
      <c r="H34" s="34" t="s">
        <v>1300</v>
      </c>
      <c r="I34" s="34" t="s">
        <v>1292</v>
      </c>
      <c r="J34" s="34" t="s">
        <v>1328</v>
      </c>
      <c r="K34" s="37"/>
      <c r="L34" s="37"/>
    </row>
    <row r="35" spans="1:12" x14ac:dyDescent="0.25">
      <c r="A35" s="34">
        <v>34</v>
      </c>
      <c r="B35" s="35" t="s">
        <v>36</v>
      </c>
      <c r="C35" s="34">
        <v>2904700095</v>
      </c>
      <c r="D35" s="34" t="s">
        <v>1325</v>
      </c>
      <c r="E35" s="34" t="s">
        <v>1338</v>
      </c>
      <c r="F35" s="34" t="s">
        <v>1331</v>
      </c>
      <c r="G35" s="36" t="s">
        <v>1290</v>
      </c>
      <c r="H35" s="34" t="s">
        <v>1291</v>
      </c>
      <c r="I35" s="34" t="s">
        <v>1292</v>
      </c>
      <c r="J35" s="34" t="s">
        <v>1293</v>
      </c>
      <c r="K35" s="37"/>
      <c r="L35" s="37"/>
    </row>
    <row r="36" spans="1:12" x14ac:dyDescent="0.25">
      <c r="A36" s="34">
        <v>35</v>
      </c>
      <c r="B36" s="35" t="s">
        <v>37</v>
      </c>
      <c r="C36" s="34">
        <v>1206500136</v>
      </c>
      <c r="D36" s="34" t="s">
        <v>1325</v>
      </c>
      <c r="E36" s="34" t="s">
        <v>1339</v>
      </c>
      <c r="F36" s="34" t="s">
        <v>1333</v>
      </c>
      <c r="G36" s="36" t="s">
        <v>1290</v>
      </c>
      <c r="H36" s="34" t="s">
        <v>1291</v>
      </c>
      <c r="I36" s="34" t="s">
        <v>1292</v>
      </c>
      <c r="J36" s="34" t="s">
        <v>1295</v>
      </c>
      <c r="K36" s="37"/>
      <c r="L36" s="37"/>
    </row>
    <row r="37" spans="1:12" x14ac:dyDescent="0.25">
      <c r="A37" s="34">
        <v>36</v>
      </c>
      <c r="B37" s="35" t="s">
        <v>38</v>
      </c>
      <c r="C37" s="34">
        <v>25020140</v>
      </c>
      <c r="D37" s="34" t="s">
        <v>1325</v>
      </c>
      <c r="E37" s="34" t="s">
        <v>1340</v>
      </c>
      <c r="F37" s="34" t="s">
        <v>1327</v>
      </c>
      <c r="G37" s="36" t="s">
        <v>1290</v>
      </c>
      <c r="H37" s="34" t="s">
        <v>1291</v>
      </c>
      <c r="I37" s="34" t="s">
        <v>1292</v>
      </c>
      <c r="J37" s="34" t="s">
        <v>1295</v>
      </c>
      <c r="K37" s="37"/>
      <c r="L37" s="37"/>
    </row>
    <row r="38" spans="1:12" x14ac:dyDescent="0.25">
      <c r="A38" s="38">
        <v>37</v>
      </c>
      <c r="B38" s="35" t="s">
        <v>39</v>
      </c>
      <c r="C38" s="34">
        <v>13077060</v>
      </c>
      <c r="D38" s="34" t="s">
        <v>1325</v>
      </c>
      <c r="E38" s="34" t="s">
        <v>1341</v>
      </c>
      <c r="F38" s="34" t="s">
        <v>1327</v>
      </c>
      <c r="G38" s="36" t="s">
        <v>1290</v>
      </c>
      <c r="H38" s="34" t="s">
        <v>1291</v>
      </c>
      <c r="I38" s="34" t="s">
        <v>1292</v>
      </c>
      <c r="J38" s="34" t="s">
        <v>1328</v>
      </c>
      <c r="K38" s="43"/>
      <c r="L38" s="43"/>
    </row>
    <row r="39" spans="1:12" x14ac:dyDescent="0.25">
      <c r="A39" s="34">
        <v>38</v>
      </c>
      <c r="B39" s="35" t="s">
        <v>40</v>
      </c>
      <c r="C39" s="34">
        <v>12045020</v>
      </c>
      <c r="D39" s="34" t="s">
        <v>1325</v>
      </c>
      <c r="E39" s="34" t="s">
        <v>1342</v>
      </c>
      <c r="F39" s="34" t="s">
        <v>1327</v>
      </c>
      <c r="G39" s="36" t="s">
        <v>1290</v>
      </c>
      <c r="H39" s="34" t="s">
        <v>1291</v>
      </c>
      <c r="I39" s="34" t="s">
        <v>1292</v>
      </c>
      <c r="J39" s="34" t="s">
        <v>1334</v>
      </c>
      <c r="K39" s="44"/>
      <c r="L39" s="44"/>
    </row>
    <row r="40" spans="1:12" x14ac:dyDescent="0.25">
      <c r="A40" s="34">
        <v>39</v>
      </c>
      <c r="B40" s="35" t="s">
        <v>41</v>
      </c>
      <c r="C40" s="34">
        <v>12067001</v>
      </c>
      <c r="D40" s="34" t="s">
        <v>1325</v>
      </c>
      <c r="E40" s="34" t="s">
        <v>1330</v>
      </c>
      <c r="F40" s="34" t="s">
        <v>1331</v>
      </c>
      <c r="G40" s="36" t="s">
        <v>1290</v>
      </c>
      <c r="H40" s="34" t="s">
        <v>1291</v>
      </c>
      <c r="I40" s="34" t="s">
        <v>1292</v>
      </c>
      <c r="J40" s="34" t="s">
        <v>1293</v>
      </c>
      <c r="K40" s="37"/>
      <c r="L40" s="37"/>
    </row>
    <row r="41" spans="1:12" x14ac:dyDescent="0.25">
      <c r="A41" s="34">
        <v>40</v>
      </c>
      <c r="B41" s="35" t="s">
        <v>42</v>
      </c>
      <c r="C41" s="34">
        <v>29035080</v>
      </c>
      <c r="D41" s="34" t="s">
        <v>1325</v>
      </c>
      <c r="E41" s="34" t="s">
        <v>1343</v>
      </c>
      <c r="F41" s="34" t="s">
        <v>1331</v>
      </c>
      <c r="G41" s="36" t="s">
        <v>1290</v>
      </c>
      <c r="H41" s="34" t="s">
        <v>1291</v>
      </c>
      <c r="I41" s="34" t="s">
        <v>1292</v>
      </c>
      <c r="J41" s="34" t="s">
        <v>1295</v>
      </c>
      <c r="K41" s="43"/>
      <c r="L41" s="43"/>
    </row>
    <row r="42" spans="1:12" x14ac:dyDescent="0.25">
      <c r="A42" s="34">
        <v>41</v>
      </c>
      <c r="B42" s="34" t="s">
        <v>43</v>
      </c>
      <c r="C42" s="34">
        <v>14019030</v>
      </c>
      <c r="D42" s="34" t="s">
        <v>1325</v>
      </c>
      <c r="E42" s="34" t="s">
        <v>1339</v>
      </c>
      <c r="F42" s="34" t="s">
        <v>1333</v>
      </c>
      <c r="G42" s="34" t="s">
        <v>1344</v>
      </c>
      <c r="H42" s="34" t="s">
        <v>1345</v>
      </c>
      <c r="I42" s="34" t="s">
        <v>1292</v>
      </c>
      <c r="J42" s="34" t="s">
        <v>1346</v>
      </c>
      <c r="K42" s="44">
        <v>46064</v>
      </c>
      <c r="L42" s="44"/>
    </row>
    <row r="43" spans="1:12" x14ac:dyDescent="0.25">
      <c r="A43" s="34">
        <v>42</v>
      </c>
      <c r="B43" s="35" t="s">
        <v>44</v>
      </c>
      <c r="C43" s="34">
        <v>29015040</v>
      </c>
      <c r="D43" s="34" t="s">
        <v>1325</v>
      </c>
      <c r="E43" s="34" t="s">
        <v>1347</v>
      </c>
      <c r="F43" s="34" t="s">
        <v>1333</v>
      </c>
      <c r="G43" s="36" t="s">
        <v>1290</v>
      </c>
      <c r="H43" s="34" t="s">
        <v>1291</v>
      </c>
      <c r="I43" s="34" t="s">
        <v>1292</v>
      </c>
      <c r="J43" s="34" t="s">
        <v>1295</v>
      </c>
      <c r="K43" s="44"/>
      <c r="L43" s="43"/>
    </row>
    <row r="44" spans="1:12" x14ac:dyDescent="0.25">
      <c r="A44" s="34">
        <v>43</v>
      </c>
      <c r="B44" s="35" t="s">
        <v>45</v>
      </c>
      <c r="C44" s="34">
        <v>25025280</v>
      </c>
      <c r="D44" s="34" t="s">
        <v>1325</v>
      </c>
      <c r="E44" s="34" t="s">
        <v>1348</v>
      </c>
      <c r="F44" s="34" t="s">
        <v>1349</v>
      </c>
      <c r="G44" s="36" t="s">
        <v>1290</v>
      </c>
      <c r="H44" s="34" t="s">
        <v>1291</v>
      </c>
      <c r="I44" s="34" t="s">
        <v>1292</v>
      </c>
      <c r="J44" s="34" t="s">
        <v>1315</v>
      </c>
      <c r="K44" s="44"/>
      <c r="L44" s="44"/>
    </row>
    <row r="45" spans="1:12" x14ac:dyDescent="0.25">
      <c r="A45" s="38">
        <v>44</v>
      </c>
      <c r="B45" s="35" t="s">
        <v>46</v>
      </c>
      <c r="C45" s="34">
        <v>29035000</v>
      </c>
      <c r="D45" s="34" t="s">
        <v>1325</v>
      </c>
      <c r="E45" s="34" t="s">
        <v>1350</v>
      </c>
      <c r="F45" s="34" t="s">
        <v>1333</v>
      </c>
      <c r="G45" s="36" t="s">
        <v>1290</v>
      </c>
      <c r="H45" s="34" t="s">
        <v>1291</v>
      </c>
      <c r="I45" s="34" t="s">
        <v>1292</v>
      </c>
      <c r="J45" s="34" t="s">
        <v>1295</v>
      </c>
      <c r="K45" s="44"/>
      <c r="L45" s="43"/>
    </row>
    <row r="46" spans="1:12" x14ac:dyDescent="0.25">
      <c r="A46" s="34">
        <v>45</v>
      </c>
      <c r="B46" s="35" t="s">
        <v>47</v>
      </c>
      <c r="C46" s="34">
        <v>29004520</v>
      </c>
      <c r="D46" s="34" t="s">
        <v>1325</v>
      </c>
      <c r="E46" s="34" t="s">
        <v>1351</v>
      </c>
      <c r="F46" s="34" t="s">
        <v>1331</v>
      </c>
      <c r="G46" s="36" t="s">
        <v>1290</v>
      </c>
      <c r="H46" s="34" t="s">
        <v>1291</v>
      </c>
      <c r="I46" s="34" t="s">
        <v>1292</v>
      </c>
      <c r="J46" s="34" t="s">
        <v>1295</v>
      </c>
      <c r="K46" s="44">
        <v>46272</v>
      </c>
      <c r="L46" s="37"/>
    </row>
    <row r="47" spans="1:12" x14ac:dyDescent="0.25">
      <c r="A47" s="34">
        <v>46</v>
      </c>
      <c r="B47" s="35" t="s">
        <v>48</v>
      </c>
      <c r="C47" s="34">
        <v>35025110</v>
      </c>
      <c r="D47" s="34" t="s">
        <v>1352</v>
      </c>
      <c r="E47" s="34" t="s">
        <v>1353</v>
      </c>
      <c r="F47" s="34" t="s">
        <v>1354</v>
      </c>
      <c r="G47" s="36" t="s">
        <v>1290</v>
      </c>
      <c r="H47" s="34" t="s">
        <v>1291</v>
      </c>
      <c r="I47" s="34" t="s">
        <v>1292</v>
      </c>
      <c r="J47" s="34" t="s">
        <v>1315</v>
      </c>
      <c r="K47" s="44"/>
      <c r="L47" s="43"/>
    </row>
    <row r="48" spans="1:12" x14ac:dyDescent="0.25">
      <c r="A48" s="34">
        <v>47</v>
      </c>
      <c r="B48" s="34" t="s">
        <v>49</v>
      </c>
      <c r="C48" s="34">
        <v>35037100</v>
      </c>
      <c r="D48" s="34" t="s">
        <v>1352</v>
      </c>
      <c r="E48" s="34" t="s">
        <v>1353</v>
      </c>
      <c r="F48" s="34" t="s">
        <v>1354</v>
      </c>
      <c r="G48" s="34" t="s">
        <v>1344</v>
      </c>
      <c r="H48" s="38" t="s">
        <v>1345</v>
      </c>
      <c r="I48" s="34" t="s">
        <v>1292</v>
      </c>
      <c r="J48" s="34" t="s">
        <v>1293</v>
      </c>
      <c r="K48" s="44">
        <v>45910</v>
      </c>
      <c r="L48" s="37" t="s">
        <v>1355</v>
      </c>
    </row>
    <row r="49" spans="1:12" x14ac:dyDescent="0.25">
      <c r="A49" s="34">
        <v>48</v>
      </c>
      <c r="B49" s="35" t="s">
        <v>50</v>
      </c>
      <c r="C49" s="34">
        <v>3206500058</v>
      </c>
      <c r="D49" s="34" t="s">
        <v>1352</v>
      </c>
      <c r="E49" s="34" t="s">
        <v>1356</v>
      </c>
      <c r="F49" s="34" t="s">
        <v>1354</v>
      </c>
      <c r="G49" s="36" t="s">
        <v>1290</v>
      </c>
      <c r="H49" s="34" t="s">
        <v>1291</v>
      </c>
      <c r="I49" s="34" t="s">
        <v>1292</v>
      </c>
      <c r="J49" s="34" t="s">
        <v>1295</v>
      </c>
      <c r="K49" s="44"/>
      <c r="L49" s="37"/>
    </row>
    <row r="50" spans="1:12" x14ac:dyDescent="0.25">
      <c r="A50" s="34">
        <v>49</v>
      </c>
      <c r="B50" s="35" t="s">
        <v>51</v>
      </c>
      <c r="C50" s="34">
        <v>35035100</v>
      </c>
      <c r="D50" s="34" t="s">
        <v>1352</v>
      </c>
      <c r="E50" s="34" t="s">
        <v>1353</v>
      </c>
      <c r="F50" s="34" t="s">
        <v>1354</v>
      </c>
      <c r="G50" s="36" t="s">
        <v>1290</v>
      </c>
      <c r="H50" s="34" t="s">
        <v>1291</v>
      </c>
      <c r="I50" s="34" t="s">
        <v>1292</v>
      </c>
      <c r="J50" s="34" t="s">
        <v>1315</v>
      </c>
      <c r="K50" s="44"/>
      <c r="L50" s="37"/>
    </row>
    <row r="51" spans="1:12" x14ac:dyDescent="0.25">
      <c r="A51" s="34">
        <v>50</v>
      </c>
      <c r="B51" s="35" t="s">
        <v>52</v>
      </c>
      <c r="C51" s="34">
        <v>42077020</v>
      </c>
      <c r="D51" s="34" t="s">
        <v>1352</v>
      </c>
      <c r="E51" s="34" t="s">
        <v>1357</v>
      </c>
      <c r="F51" s="34" t="s">
        <v>1358</v>
      </c>
      <c r="G51" s="36" t="s">
        <v>1290</v>
      </c>
      <c r="H51" s="34" t="s">
        <v>1300</v>
      </c>
      <c r="I51" s="34" t="s">
        <v>1292</v>
      </c>
      <c r="J51" s="34" t="s">
        <v>1293</v>
      </c>
      <c r="K51" s="44"/>
      <c r="L51" s="37"/>
    </row>
    <row r="52" spans="1:12" x14ac:dyDescent="0.25">
      <c r="A52" s="38">
        <v>51</v>
      </c>
      <c r="B52" s="35" t="s">
        <v>53</v>
      </c>
      <c r="C52" s="34">
        <v>35017020</v>
      </c>
      <c r="D52" s="34" t="s">
        <v>1352</v>
      </c>
      <c r="E52" s="34" t="s">
        <v>1359</v>
      </c>
      <c r="F52" s="34" t="s">
        <v>1354</v>
      </c>
      <c r="G52" s="36" t="s">
        <v>1290</v>
      </c>
      <c r="H52" s="34" t="s">
        <v>1291</v>
      </c>
      <c r="I52" s="34" t="s">
        <v>1292</v>
      </c>
      <c r="J52" s="34" t="s">
        <v>1293</v>
      </c>
      <c r="K52" s="44"/>
      <c r="L52" s="37"/>
    </row>
    <row r="53" spans="1:12" x14ac:dyDescent="0.25">
      <c r="A53" s="34">
        <v>52</v>
      </c>
      <c r="B53" s="35" t="s">
        <v>54</v>
      </c>
      <c r="C53" s="34">
        <v>3206500059</v>
      </c>
      <c r="D53" s="34" t="s">
        <v>1352</v>
      </c>
      <c r="E53" s="34" t="s">
        <v>1360</v>
      </c>
      <c r="F53" s="34" t="s">
        <v>1354</v>
      </c>
      <c r="G53" s="36" t="s">
        <v>1290</v>
      </c>
      <c r="H53" s="34" t="s">
        <v>1291</v>
      </c>
      <c r="I53" s="34" t="s">
        <v>1292</v>
      </c>
      <c r="J53" s="34" t="s">
        <v>1295</v>
      </c>
      <c r="K53" s="44"/>
      <c r="L53" s="37"/>
    </row>
    <row r="54" spans="1:12" x14ac:dyDescent="0.25">
      <c r="A54" s="34">
        <v>53</v>
      </c>
      <c r="B54" s="35" t="s">
        <v>55</v>
      </c>
      <c r="C54" s="34">
        <v>33035010</v>
      </c>
      <c r="D54" s="34" t="s">
        <v>1352</v>
      </c>
      <c r="E54" s="34" t="s">
        <v>1361</v>
      </c>
      <c r="F54" s="34" t="s">
        <v>1354</v>
      </c>
      <c r="G54" s="36" t="s">
        <v>1290</v>
      </c>
      <c r="H54" s="34" t="s">
        <v>1300</v>
      </c>
      <c r="I54" s="34" t="s">
        <v>1292</v>
      </c>
      <c r="J54" s="34" t="s">
        <v>1362</v>
      </c>
      <c r="K54" s="44"/>
      <c r="L54" s="37"/>
    </row>
    <row r="55" spans="1:12" x14ac:dyDescent="0.25">
      <c r="A55" s="34">
        <v>54</v>
      </c>
      <c r="B55" s="34" t="s">
        <v>56</v>
      </c>
      <c r="C55" s="34">
        <v>32067030</v>
      </c>
      <c r="D55" s="34" t="s">
        <v>1352</v>
      </c>
      <c r="E55" s="34" t="s">
        <v>1363</v>
      </c>
      <c r="F55" s="34" t="s">
        <v>1354</v>
      </c>
      <c r="G55" s="34" t="s">
        <v>1344</v>
      </c>
      <c r="H55" s="34" t="s">
        <v>1345</v>
      </c>
      <c r="I55" s="34" t="s">
        <v>1292</v>
      </c>
      <c r="J55" s="34" t="s">
        <v>1293</v>
      </c>
      <c r="K55" s="44">
        <v>46190</v>
      </c>
      <c r="L55" s="37"/>
    </row>
    <row r="56" spans="1:12" x14ac:dyDescent="0.25">
      <c r="A56" s="34">
        <v>55</v>
      </c>
      <c r="B56" s="35" t="s">
        <v>57</v>
      </c>
      <c r="C56" s="34">
        <v>3206500045</v>
      </c>
      <c r="D56" s="34" t="s">
        <v>1352</v>
      </c>
      <c r="E56" s="34" t="s">
        <v>1364</v>
      </c>
      <c r="F56" s="34" t="s">
        <v>1354</v>
      </c>
      <c r="G56" s="36" t="s">
        <v>1290</v>
      </c>
      <c r="H56" s="34" t="s">
        <v>1291</v>
      </c>
      <c r="I56" s="34" t="s">
        <v>1292</v>
      </c>
      <c r="J56" s="34" t="s">
        <v>1295</v>
      </c>
      <c r="K56" s="44"/>
      <c r="L56" s="37"/>
    </row>
    <row r="57" spans="1:12" x14ac:dyDescent="0.25">
      <c r="A57" s="34">
        <v>56</v>
      </c>
      <c r="B57" s="35" t="s">
        <v>58</v>
      </c>
      <c r="C57" s="34">
        <v>35035110</v>
      </c>
      <c r="D57" s="34" t="s">
        <v>1352</v>
      </c>
      <c r="E57" s="34" t="s">
        <v>1365</v>
      </c>
      <c r="F57" s="34" t="s">
        <v>1354</v>
      </c>
      <c r="G57" s="36" t="s">
        <v>1290</v>
      </c>
      <c r="H57" s="34" t="s">
        <v>1291</v>
      </c>
      <c r="I57" s="34" t="s">
        <v>1292</v>
      </c>
      <c r="J57" s="34" t="s">
        <v>1315</v>
      </c>
      <c r="K57" s="44"/>
      <c r="L57" s="37"/>
    </row>
    <row r="58" spans="1:12" x14ac:dyDescent="0.25">
      <c r="A58" s="34">
        <v>57</v>
      </c>
      <c r="B58" s="35" t="s">
        <v>59</v>
      </c>
      <c r="C58" s="34">
        <v>35027140</v>
      </c>
      <c r="D58" s="34" t="s">
        <v>1352</v>
      </c>
      <c r="E58" s="34" t="s">
        <v>1353</v>
      </c>
      <c r="F58" s="34" t="s">
        <v>1354</v>
      </c>
      <c r="G58" s="36" t="s">
        <v>1290</v>
      </c>
      <c r="H58" s="34" t="s">
        <v>1291</v>
      </c>
      <c r="I58" s="34" t="s">
        <v>1292</v>
      </c>
      <c r="J58" s="34" t="s">
        <v>1293</v>
      </c>
      <c r="K58" s="44"/>
      <c r="L58" s="43"/>
    </row>
    <row r="59" spans="1:12" ht="25.5" x14ac:dyDescent="0.25">
      <c r="A59" s="38">
        <v>58</v>
      </c>
      <c r="B59" s="35" t="s">
        <v>60</v>
      </c>
      <c r="C59" s="34">
        <v>21015020</v>
      </c>
      <c r="D59" s="34" t="s">
        <v>1366</v>
      </c>
      <c r="E59" s="34" t="s">
        <v>1367</v>
      </c>
      <c r="F59" s="34" t="s">
        <v>1368</v>
      </c>
      <c r="G59" s="34" t="s">
        <v>1297</v>
      </c>
      <c r="H59" s="34" t="s">
        <v>1291</v>
      </c>
      <c r="I59" s="2" t="s">
        <v>1292</v>
      </c>
      <c r="J59" s="2" t="s">
        <v>1315</v>
      </c>
      <c r="K59" s="44">
        <v>46254</v>
      </c>
      <c r="L59" s="37" t="s">
        <v>1369</v>
      </c>
    </row>
    <row r="60" spans="1:12" x14ac:dyDescent="0.25">
      <c r="A60" s="34">
        <v>59</v>
      </c>
      <c r="B60" s="35" t="s">
        <v>61</v>
      </c>
      <c r="C60" s="34">
        <v>4403700097</v>
      </c>
      <c r="D60" s="34" t="s">
        <v>1366</v>
      </c>
      <c r="E60" s="34" t="s">
        <v>1370</v>
      </c>
      <c r="F60" s="34" t="s">
        <v>1371</v>
      </c>
      <c r="G60" s="36" t="s">
        <v>1290</v>
      </c>
      <c r="H60" s="34" t="s">
        <v>1300</v>
      </c>
      <c r="I60" s="34" t="s">
        <v>1292</v>
      </c>
      <c r="J60" s="34" t="s">
        <v>1293</v>
      </c>
      <c r="K60" s="44"/>
      <c r="L60" s="37"/>
    </row>
    <row r="61" spans="1:12" x14ac:dyDescent="0.25">
      <c r="A61" s="34">
        <v>60</v>
      </c>
      <c r="B61" s="35" t="s">
        <v>62</v>
      </c>
      <c r="C61" s="34">
        <v>21057060</v>
      </c>
      <c r="D61" s="34" t="s">
        <v>1366</v>
      </c>
      <c r="E61" s="34" t="s">
        <v>1372</v>
      </c>
      <c r="F61" s="34" t="s">
        <v>1368</v>
      </c>
      <c r="G61" s="34" t="s">
        <v>1297</v>
      </c>
      <c r="H61" s="34" t="s">
        <v>1291</v>
      </c>
      <c r="I61" s="34" t="s">
        <v>1292</v>
      </c>
      <c r="J61" s="34" t="s">
        <v>1293</v>
      </c>
      <c r="K61" s="44">
        <v>46254</v>
      </c>
      <c r="L61" s="37"/>
    </row>
    <row r="62" spans="1:12" x14ac:dyDescent="0.25">
      <c r="A62" s="34">
        <v>61</v>
      </c>
      <c r="B62" s="35" t="s">
        <v>63</v>
      </c>
      <c r="C62" s="34">
        <v>21105030</v>
      </c>
      <c r="D62" s="34" t="s">
        <v>1366</v>
      </c>
      <c r="E62" s="34" t="s">
        <v>1373</v>
      </c>
      <c r="F62" s="34" t="s">
        <v>1368</v>
      </c>
      <c r="G62" s="36" t="s">
        <v>1290</v>
      </c>
      <c r="H62" s="34" t="s">
        <v>1291</v>
      </c>
      <c r="I62" s="34" t="s">
        <v>1292</v>
      </c>
      <c r="J62" s="34" t="s">
        <v>1334</v>
      </c>
      <c r="K62" s="44"/>
      <c r="L62" s="37"/>
    </row>
    <row r="63" spans="1:12" x14ac:dyDescent="0.25">
      <c r="A63" s="34">
        <v>62</v>
      </c>
      <c r="B63" s="35" t="s">
        <v>64</v>
      </c>
      <c r="C63" s="34">
        <v>21015030</v>
      </c>
      <c r="D63" s="34" t="s">
        <v>1366</v>
      </c>
      <c r="E63" s="34" t="s">
        <v>1374</v>
      </c>
      <c r="F63" s="34" t="s">
        <v>1368</v>
      </c>
      <c r="G63" s="36" t="s">
        <v>1290</v>
      </c>
      <c r="H63" s="34" t="s">
        <v>1291</v>
      </c>
      <c r="I63" s="34" t="s">
        <v>1292</v>
      </c>
      <c r="J63" s="34" t="s">
        <v>1375</v>
      </c>
      <c r="K63" s="44"/>
      <c r="L63" s="37"/>
    </row>
    <row r="64" spans="1:12" ht="25.5" x14ac:dyDescent="0.25">
      <c r="A64" s="34">
        <v>63</v>
      </c>
      <c r="B64" s="34" t="s">
        <v>65</v>
      </c>
      <c r="C64" s="34">
        <v>21115180</v>
      </c>
      <c r="D64" s="35" t="s">
        <v>1366</v>
      </c>
      <c r="E64" s="35" t="s">
        <v>1376</v>
      </c>
      <c r="F64" s="35" t="s">
        <v>1368</v>
      </c>
      <c r="G64" s="40" t="s">
        <v>1307</v>
      </c>
      <c r="H64" s="35" t="s">
        <v>1308</v>
      </c>
      <c r="I64" s="35" t="s">
        <v>1309</v>
      </c>
      <c r="J64" s="35" t="s">
        <v>1315</v>
      </c>
      <c r="K64" s="45">
        <v>45982</v>
      </c>
      <c r="L64" s="42" t="s">
        <v>1310</v>
      </c>
    </row>
    <row r="65" spans="1:12" x14ac:dyDescent="0.25">
      <c r="A65" s="34">
        <v>64</v>
      </c>
      <c r="B65" s="35" t="s">
        <v>66</v>
      </c>
      <c r="C65" s="34">
        <v>44035040</v>
      </c>
      <c r="D65" s="34" t="s">
        <v>1366</v>
      </c>
      <c r="E65" s="34" t="s">
        <v>1370</v>
      </c>
      <c r="F65" s="34" t="s">
        <v>1371</v>
      </c>
      <c r="G65" s="36" t="s">
        <v>1290</v>
      </c>
      <c r="H65" s="34" t="s">
        <v>1291</v>
      </c>
      <c r="I65" s="34" t="s">
        <v>1292</v>
      </c>
      <c r="J65" s="34" t="s">
        <v>1295</v>
      </c>
      <c r="K65" s="44"/>
      <c r="L65" s="37"/>
    </row>
    <row r="66" spans="1:12" x14ac:dyDescent="0.25">
      <c r="A66" s="38">
        <v>65</v>
      </c>
      <c r="B66" s="35" t="s">
        <v>67</v>
      </c>
      <c r="C66" s="34">
        <v>21145080</v>
      </c>
      <c r="D66" s="34" t="s">
        <v>1366</v>
      </c>
      <c r="E66" s="34" t="s">
        <v>1377</v>
      </c>
      <c r="F66" s="34" t="s">
        <v>1368</v>
      </c>
      <c r="G66" s="36" t="s">
        <v>1290</v>
      </c>
      <c r="H66" s="34" t="s">
        <v>1291</v>
      </c>
      <c r="I66" s="34" t="s">
        <v>1292</v>
      </c>
      <c r="J66" s="34" t="s">
        <v>1334</v>
      </c>
      <c r="K66" s="44"/>
      <c r="L66" s="34"/>
    </row>
    <row r="67" spans="1:12" x14ac:dyDescent="0.25">
      <c r="A67" s="34">
        <v>66</v>
      </c>
      <c r="B67" s="35" t="s">
        <v>68</v>
      </c>
      <c r="C67" s="34">
        <v>21057050</v>
      </c>
      <c r="D67" s="34" t="s">
        <v>1366</v>
      </c>
      <c r="E67" s="34" t="s">
        <v>1378</v>
      </c>
      <c r="F67" s="34" t="s">
        <v>1368</v>
      </c>
      <c r="G67" s="36" t="s">
        <v>1290</v>
      </c>
      <c r="H67" s="34" t="s">
        <v>1291</v>
      </c>
      <c r="I67" s="34" t="s">
        <v>1292</v>
      </c>
      <c r="J67" s="34" t="s">
        <v>1293</v>
      </c>
      <c r="K67" s="44"/>
      <c r="L67" s="37"/>
    </row>
    <row r="68" spans="1:12" x14ac:dyDescent="0.25">
      <c r="A68" s="34">
        <v>67</v>
      </c>
      <c r="B68" s="35" t="s">
        <v>69</v>
      </c>
      <c r="C68" s="34">
        <v>21017030</v>
      </c>
      <c r="D68" s="34" t="s">
        <v>1366</v>
      </c>
      <c r="E68" s="34" t="s">
        <v>1379</v>
      </c>
      <c r="F68" s="34" t="s">
        <v>1368</v>
      </c>
      <c r="G68" s="36" t="s">
        <v>1290</v>
      </c>
      <c r="H68" s="34" t="s">
        <v>1291</v>
      </c>
      <c r="I68" s="34" t="s">
        <v>1292</v>
      </c>
      <c r="J68" s="34" t="s">
        <v>1293</v>
      </c>
      <c r="K68" s="44"/>
      <c r="L68" s="37"/>
    </row>
    <row r="69" spans="1:12" x14ac:dyDescent="0.25">
      <c r="A69" s="34">
        <v>68</v>
      </c>
      <c r="B69" s="35" t="s">
        <v>70</v>
      </c>
      <c r="C69" s="34">
        <v>44037080</v>
      </c>
      <c r="D69" s="34" t="s">
        <v>1366</v>
      </c>
      <c r="E69" s="34" t="s">
        <v>1380</v>
      </c>
      <c r="F69" s="34" t="s">
        <v>1371</v>
      </c>
      <c r="G69" s="34" t="s">
        <v>1297</v>
      </c>
      <c r="H69" s="34" t="s">
        <v>1291</v>
      </c>
      <c r="I69" s="34" t="s">
        <v>1292</v>
      </c>
      <c r="J69" s="34" t="s">
        <v>1293</v>
      </c>
      <c r="K69" s="44">
        <v>46268</v>
      </c>
      <c r="L69" s="43"/>
    </row>
    <row r="70" spans="1:12" x14ac:dyDescent="0.25">
      <c r="A70" s="34">
        <v>69</v>
      </c>
      <c r="B70" s="35" t="s">
        <v>71</v>
      </c>
      <c r="C70" s="34">
        <v>21127030</v>
      </c>
      <c r="D70" s="34" t="s">
        <v>1366</v>
      </c>
      <c r="E70" s="34" t="s">
        <v>1381</v>
      </c>
      <c r="F70" s="34" t="s">
        <v>1368</v>
      </c>
      <c r="G70" s="36" t="s">
        <v>1290</v>
      </c>
      <c r="H70" s="34" t="s">
        <v>1291</v>
      </c>
      <c r="I70" s="34" t="s">
        <v>1292</v>
      </c>
      <c r="J70" s="34" t="s">
        <v>1293</v>
      </c>
      <c r="K70" s="44"/>
      <c r="L70" s="37"/>
    </row>
    <row r="71" spans="1:12" x14ac:dyDescent="0.25">
      <c r="A71" s="34">
        <v>70</v>
      </c>
      <c r="B71" s="35" t="s">
        <v>72</v>
      </c>
      <c r="C71" s="34">
        <v>21097120</v>
      </c>
      <c r="D71" s="34" t="s">
        <v>1366</v>
      </c>
      <c r="E71" s="34" t="s">
        <v>1382</v>
      </c>
      <c r="F71" s="34" t="s">
        <v>1368</v>
      </c>
      <c r="G71" s="34" t="s">
        <v>1297</v>
      </c>
      <c r="H71" s="34" t="s">
        <v>1291</v>
      </c>
      <c r="I71" s="34" t="s">
        <v>1292</v>
      </c>
      <c r="J71" s="34" t="s">
        <v>1293</v>
      </c>
      <c r="K71" s="44">
        <v>46254</v>
      </c>
      <c r="L71" s="37"/>
    </row>
    <row r="72" spans="1:12" x14ac:dyDescent="0.25">
      <c r="A72" s="34">
        <v>71</v>
      </c>
      <c r="B72" s="35" t="s">
        <v>73</v>
      </c>
      <c r="C72" s="34">
        <v>25025360</v>
      </c>
      <c r="D72" s="34" t="s">
        <v>1383</v>
      </c>
      <c r="E72" s="34" t="s">
        <v>1384</v>
      </c>
      <c r="F72" s="34" t="s">
        <v>1385</v>
      </c>
      <c r="G72" s="36" t="s">
        <v>1290</v>
      </c>
      <c r="H72" s="34" t="s">
        <v>1291</v>
      </c>
      <c r="I72" s="34" t="s">
        <v>1292</v>
      </c>
      <c r="J72" s="34" t="s">
        <v>1295</v>
      </c>
      <c r="K72" s="44"/>
      <c r="L72" s="37"/>
    </row>
    <row r="73" spans="1:12" x14ac:dyDescent="0.25">
      <c r="A73" s="38">
        <v>72</v>
      </c>
      <c r="B73" s="35" t="s">
        <v>74</v>
      </c>
      <c r="C73" s="34">
        <v>29065130</v>
      </c>
      <c r="D73" s="34" t="s">
        <v>1383</v>
      </c>
      <c r="E73" s="34" t="s">
        <v>1386</v>
      </c>
      <c r="F73" s="34" t="s">
        <v>1385</v>
      </c>
      <c r="G73" s="34" t="s">
        <v>1297</v>
      </c>
      <c r="H73" s="34" t="s">
        <v>1291</v>
      </c>
      <c r="I73" s="34" t="s">
        <v>1292</v>
      </c>
      <c r="J73" s="34" t="s">
        <v>1315</v>
      </c>
      <c r="K73" s="44" t="s">
        <v>1298</v>
      </c>
      <c r="L73" s="37"/>
    </row>
    <row r="74" spans="1:12" x14ac:dyDescent="0.25">
      <c r="A74" s="34">
        <v>73</v>
      </c>
      <c r="B74" s="35" t="s">
        <v>75</v>
      </c>
      <c r="C74" s="34">
        <v>15015120</v>
      </c>
      <c r="D74" s="34" t="s">
        <v>1383</v>
      </c>
      <c r="E74" s="34" t="s">
        <v>1387</v>
      </c>
      <c r="F74" s="34" t="s">
        <v>1385</v>
      </c>
      <c r="G74" s="36" t="s">
        <v>1290</v>
      </c>
      <c r="H74" s="34" t="s">
        <v>1291</v>
      </c>
      <c r="I74" s="34" t="s">
        <v>1292</v>
      </c>
      <c r="J74" s="34" t="s">
        <v>1295</v>
      </c>
      <c r="K74" s="44"/>
      <c r="L74" s="37"/>
    </row>
    <row r="75" spans="1:12" x14ac:dyDescent="0.25">
      <c r="A75" s="34">
        <v>74</v>
      </c>
      <c r="B75" s="35" t="s">
        <v>76</v>
      </c>
      <c r="C75" s="34">
        <v>28035060</v>
      </c>
      <c r="D75" s="34" t="s">
        <v>1383</v>
      </c>
      <c r="E75" s="34" t="s">
        <v>1388</v>
      </c>
      <c r="F75" s="34" t="s">
        <v>1389</v>
      </c>
      <c r="G75" s="36" t="s">
        <v>1290</v>
      </c>
      <c r="H75" s="34" t="s">
        <v>1291</v>
      </c>
      <c r="I75" s="34" t="s">
        <v>1292</v>
      </c>
      <c r="J75" s="34" t="s">
        <v>1295</v>
      </c>
      <c r="K75" s="44"/>
      <c r="L75" s="37"/>
    </row>
    <row r="76" spans="1:12" x14ac:dyDescent="0.25">
      <c r="A76" s="34">
        <v>75</v>
      </c>
      <c r="B76" s="34" t="s">
        <v>77</v>
      </c>
      <c r="C76" s="34">
        <v>29065120</v>
      </c>
      <c r="D76" s="34" t="s">
        <v>1383</v>
      </c>
      <c r="E76" s="34" t="s">
        <v>1390</v>
      </c>
      <c r="F76" s="34" t="s">
        <v>1385</v>
      </c>
      <c r="G76" s="34" t="s">
        <v>1297</v>
      </c>
      <c r="H76" s="34" t="s">
        <v>1391</v>
      </c>
      <c r="I76" s="34" t="s">
        <v>1292</v>
      </c>
      <c r="J76" s="34" t="s">
        <v>1295</v>
      </c>
      <c r="K76" s="43">
        <v>46057</v>
      </c>
      <c r="L76" s="46" t="s">
        <v>1392</v>
      </c>
    </row>
    <row r="77" spans="1:12" x14ac:dyDescent="0.25">
      <c r="A77" s="34">
        <v>76</v>
      </c>
      <c r="B77" s="35" t="s">
        <v>78</v>
      </c>
      <c r="C77" s="34">
        <v>29065000</v>
      </c>
      <c r="D77" s="34" t="s">
        <v>1383</v>
      </c>
      <c r="E77" s="34" t="s">
        <v>1393</v>
      </c>
      <c r="F77" s="34" t="s">
        <v>1385</v>
      </c>
      <c r="G77" s="36" t="s">
        <v>1290</v>
      </c>
      <c r="H77" s="34" t="s">
        <v>1291</v>
      </c>
      <c r="I77" s="34" t="s">
        <v>1292</v>
      </c>
      <c r="J77" s="34" t="s">
        <v>1295</v>
      </c>
      <c r="K77" s="44"/>
      <c r="L77" s="37"/>
    </row>
    <row r="78" spans="1:12" x14ac:dyDescent="0.25">
      <c r="A78" s="34">
        <v>77</v>
      </c>
      <c r="B78" s="35" t="s">
        <v>79</v>
      </c>
      <c r="C78" s="34">
        <v>28037030</v>
      </c>
      <c r="D78" s="34" t="s">
        <v>1383</v>
      </c>
      <c r="E78" s="34" t="s">
        <v>1388</v>
      </c>
      <c r="F78" s="34" t="s">
        <v>1389</v>
      </c>
      <c r="G78" s="36" t="s">
        <v>1290</v>
      </c>
      <c r="H78" s="34" t="s">
        <v>1291</v>
      </c>
      <c r="I78" s="34" t="s">
        <v>1292</v>
      </c>
      <c r="J78" s="34" t="s">
        <v>1293</v>
      </c>
      <c r="K78" s="44"/>
      <c r="L78" s="43"/>
    </row>
    <row r="79" spans="1:12" x14ac:dyDescent="0.25">
      <c r="A79" s="34">
        <v>78</v>
      </c>
      <c r="B79" s="35" t="s">
        <v>80</v>
      </c>
      <c r="C79" s="34">
        <v>2802500079</v>
      </c>
      <c r="D79" s="34" t="s">
        <v>1383</v>
      </c>
      <c r="E79" s="34" t="s">
        <v>1388</v>
      </c>
      <c r="F79" s="34" t="s">
        <v>1389</v>
      </c>
      <c r="G79" s="36" t="s">
        <v>1290</v>
      </c>
      <c r="H79" s="34" t="s">
        <v>1291</v>
      </c>
      <c r="I79" s="34" t="s">
        <v>1292</v>
      </c>
      <c r="J79" s="34" t="s">
        <v>1295</v>
      </c>
      <c r="K79" s="44"/>
      <c r="L79" s="37"/>
    </row>
    <row r="80" spans="1:12" x14ac:dyDescent="0.25">
      <c r="A80" s="38">
        <v>79</v>
      </c>
      <c r="B80" s="35" t="s">
        <v>81</v>
      </c>
      <c r="C80" s="34">
        <v>2805500075</v>
      </c>
      <c r="D80" s="34" t="s">
        <v>1383</v>
      </c>
      <c r="E80" s="34" t="s">
        <v>1394</v>
      </c>
      <c r="F80" s="34" t="s">
        <v>1389</v>
      </c>
      <c r="G80" s="36" t="s">
        <v>1290</v>
      </c>
      <c r="H80" s="34" t="s">
        <v>1291</v>
      </c>
      <c r="I80" s="34" t="s">
        <v>1292</v>
      </c>
      <c r="J80" s="34" t="s">
        <v>1295</v>
      </c>
      <c r="K80" s="44"/>
      <c r="L80" s="37"/>
    </row>
    <row r="81" spans="1:12" x14ac:dyDescent="0.25">
      <c r="A81" s="34">
        <v>80</v>
      </c>
      <c r="B81" s="35" t="s">
        <v>82</v>
      </c>
      <c r="C81" s="34">
        <v>29067150</v>
      </c>
      <c r="D81" s="34" t="s">
        <v>1383</v>
      </c>
      <c r="E81" s="34" t="s">
        <v>1395</v>
      </c>
      <c r="F81" s="34" t="s">
        <v>1385</v>
      </c>
      <c r="G81" s="36" t="s">
        <v>1290</v>
      </c>
      <c r="H81" s="34" t="s">
        <v>1300</v>
      </c>
      <c r="I81" s="34" t="s">
        <v>1292</v>
      </c>
      <c r="J81" s="34" t="s">
        <v>1293</v>
      </c>
      <c r="K81" s="44"/>
      <c r="L81" s="37"/>
    </row>
    <row r="82" spans="1:12" x14ac:dyDescent="0.25">
      <c r="A82" s="34">
        <v>81</v>
      </c>
      <c r="B82" s="35" t="s">
        <v>83</v>
      </c>
      <c r="C82" s="34">
        <v>25025330</v>
      </c>
      <c r="D82" s="34" t="s">
        <v>1383</v>
      </c>
      <c r="E82" s="34" t="s">
        <v>1396</v>
      </c>
      <c r="F82" s="34" t="s">
        <v>1389</v>
      </c>
      <c r="G82" s="36" t="s">
        <v>1290</v>
      </c>
      <c r="H82" s="34" t="s">
        <v>1291</v>
      </c>
      <c r="I82" s="34" t="s">
        <v>1292</v>
      </c>
      <c r="J82" s="34" t="s">
        <v>1295</v>
      </c>
      <c r="K82" s="44"/>
      <c r="L82" s="37"/>
    </row>
    <row r="83" spans="1:12" x14ac:dyDescent="0.25">
      <c r="A83" s="34">
        <v>82</v>
      </c>
      <c r="B83" s="35" t="s">
        <v>84</v>
      </c>
      <c r="C83" s="34">
        <v>35085070</v>
      </c>
      <c r="D83" s="34" t="s">
        <v>1397</v>
      </c>
      <c r="E83" s="34" t="s">
        <v>1398</v>
      </c>
      <c r="F83" s="34" t="s">
        <v>1399</v>
      </c>
      <c r="G83" s="36" t="s">
        <v>1290</v>
      </c>
      <c r="H83" s="34" t="s">
        <v>1291</v>
      </c>
      <c r="I83" s="34" t="s">
        <v>1292</v>
      </c>
      <c r="J83" s="34" t="s">
        <v>1295</v>
      </c>
      <c r="K83" s="44"/>
      <c r="L83" s="34"/>
    </row>
    <row r="84" spans="1:12" x14ac:dyDescent="0.25">
      <c r="A84" s="34">
        <v>83</v>
      </c>
      <c r="B84" s="35" t="s">
        <v>85</v>
      </c>
      <c r="C84" s="34">
        <v>35085060</v>
      </c>
      <c r="D84" s="34" t="s">
        <v>1397</v>
      </c>
      <c r="E84" s="34" t="s">
        <v>1400</v>
      </c>
      <c r="F84" s="34" t="s">
        <v>1399</v>
      </c>
      <c r="G84" s="36" t="s">
        <v>1290</v>
      </c>
      <c r="H84" s="34" t="s">
        <v>1291</v>
      </c>
      <c r="I84" s="34" t="s">
        <v>1292</v>
      </c>
      <c r="J84" s="34" t="s">
        <v>1295</v>
      </c>
      <c r="K84" s="44"/>
      <c r="L84" s="34"/>
    </row>
    <row r="85" spans="1:12" x14ac:dyDescent="0.25">
      <c r="A85" s="34">
        <v>84</v>
      </c>
      <c r="B85" s="35" t="s">
        <v>86</v>
      </c>
      <c r="C85" s="34">
        <v>35085080</v>
      </c>
      <c r="D85" s="34" t="s">
        <v>1397</v>
      </c>
      <c r="E85" s="34" t="s">
        <v>1401</v>
      </c>
      <c r="F85" s="34" t="s">
        <v>1399</v>
      </c>
      <c r="G85" s="36" t="s">
        <v>1290</v>
      </c>
      <c r="H85" s="34" t="s">
        <v>1291</v>
      </c>
      <c r="I85" s="34" t="s">
        <v>1292</v>
      </c>
      <c r="J85" s="34" t="s">
        <v>1295</v>
      </c>
      <c r="K85" s="44"/>
      <c r="L85" s="34"/>
    </row>
    <row r="86" spans="1:12" x14ac:dyDescent="0.25">
      <c r="A86" s="34">
        <v>85</v>
      </c>
      <c r="B86" s="35" t="s">
        <v>87</v>
      </c>
      <c r="C86" s="34">
        <v>35075070</v>
      </c>
      <c r="D86" s="34" t="s">
        <v>1397</v>
      </c>
      <c r="E86" s="34" t="s">
        <v>1402</v>
      </c>
      <c r="F86" s="34" t="s">
        <v>1399</v>
      </c>
      <c r="G86" s="36" t="s">
        <v>1290</v>
      </c>
      <c r="H86" s="34" t="s">
        <v>1291</v>
      </c>
      <c r="I86" s="34" t="s">
        <v>1292</v>
      </c>
      <c r="J86" s="34" t="s">
        <v>1315</v>
      </c>
      <c r="K86" s="44"/>
      <c r="L86" s="34"/>
    </row>
    <row r="87" spans="1:12" x14ac:dyDescent="0.25">
      <c r="A87" s="38">
        <v>86</v>
      </c>
      <c r="B87" s="35" t="s">
        <v>88</v>
      </c>
      <c r="C87" s="34">
        <v>35095120</v>
      </c>
      <c r="D87" s="34" t="s">
        <v>1397</v>
      </c>
      <c r="E87" s="34" t="s">
        <v>1403</v>
      </c>
      <c r="F87" s="34" t="s">
        <v>1399</v>
      </c>
      <c r="G87" s="36" t="s">
        <v>1290</v>
      </c>
      <c r="H87" s="34" t="s">
        <v>1291</v>
      </c>
      <c r="I87" s="34" t="s">
        <v>1292</v>
      </c>
      <c r="J87" s="34" t="s">
        <v>1295</v>
      </c>
      <c r="K87" s="44"/>
      <c r="L87" s="34"/>
    </row>
    <row r="88" spans="1:12" x14ac:dyDescent="0.25">
      <c r="A88" s="34">
        <v>87</v>
      </c>
      <c r="B88" s="35" t="s">
        <v>89</v>
      </c>
      <c r="C88" s="34">
        <v>24035360</v>
      </c>
      <c r="D88" s="34" t="s">
        <v>1397</v>
      </c>
      <c r="E88" s="34" t="s">
        <v>1404</v>
      </c>
      <c r="F88" s="34" t="s">
        <v>1399</v>
      </c>
      <c r="G88" s="36" t="s">
        <v>1290</v>
      </c>
      <c r="H88" s="34" t="s">
        <v>1291</v>
      </c>
      <c r="I88" s="34" t="s">
        <v>1292</v>
      </c>
      <c r="J88" s="34" t="s">
        <v>1295</v>
      </c>
      <c r="K88" s="44"/>
      <c r="L88" s="43"/>
    </row>
    <row r="89" spans="1:12" x14ac:dyDescent="0.25">
      <c r="A89" s="34">
        <v>88</v>
      </c>
      <c r="B89" s="35" t="s">
        <v>90</v>
      </c>
      <c r="C89" s="34">
        <v>24035410</v>
      </c>
      <c r="D89" s="34" t="s">
        <v>1397</v>
      </c>
      <c r="E89" s="34" t="s">
        <v>1405</v>
      </c>
      <c r="F89" s="34" t="s">
        <v>1399</v>
      </c>
      <c r="G89" s="36" t="s">
        <v>1290</v>
      </c>
      <c r="H89" s="34" t="s">
        <v>1291</v>
      </c>
      <c r="I89" s="34" t="s">
        <v>1292</v>
      </c>
      <c r="J89" s="34" t="s">
        <v>1362</v>
      </c>
      <c r="K89" s="44"/>
      <c r="L89" s="34"/>
    </row>
    <row r="90" spans="1:12" x14ac:dyDescent="0.25">
      <c r="A90" s="34">
        <v>89</v>
      </c>
      <c r="B90" s="35" t="s">
        <v>91</v>
      </c>
      <c r="C90" s="34">
        <v>24035370</v>
      </c>
      <c r="D90" s="34" t="s">
        <v>1397</v>
      </c>
      <c r="E90" s="34" t="s">
        <v>1406</v>
      </c>
      <c r="F90" s="34" t="s">
        <v>1399</v>
      </c>
      <c r="G90" s="36" t="s">
        <v>1290</v>
      </c>
      <c r="H90" s="34" t="s">
        <v>1291</v>
      </c>
      <c r="I90" s="34" t="s">
        <v>1292</v>
      </c>
      <c r="J90" s="34" t="s">
        <v>1295</v>
      </c>
      <c r="K90" s="44"/>
      <c r="L90" s="43"/>
    </row>
    <row r="91" spans="1:12" x14ac:dyDescent="0.25">
      <c r="A91" s="34">
        <v>90</v>
      </c>
      <c r="B91" s="35" t="s">
        <v>92</v>
      </c>
      <c r="C91" s="34">
        <v>24035250</v>
      </c>
      <c r="D91" s="34" t="s">
        <v>1397</v>
      </c>
      <c r="E91" s="34" t="s">
        <v>1407</v>
      </c>
      <c r="F91" s="34" t="s">
        <v>1399</v>
      </c>
      <c r="G91" s="36" t="s">
        <v>1290</v>
      </c>
      <c r="H91" s="34" t="s">
        <v>1291</v>
      </c>
      <c r="I91" s="34" t="s">
        <v>1292</v>
      </c>
      <c r="J91" s="34" t="s">
        <v>1334</v>
      </c>
      <c r="K91" s="44"/>
      <c r="L91" s="43"/>
    </row>
    <row r="92" spans="1:12" x14ac:dyDescent="0.25">
      <c r="A92" s="34">
        <v>91</v>
      </c>
      <c r="B92" s="35" t="s">
        <v>93</v>
      </c>
      <c r="C92" s="34">
        <v>24015300</v>
      </c>
      <c r="D92" s="34" t="s">
        <v>1397</v>
      </c>
      <c r="E92" s="34" t="s">
        <v>1408</v>
      </c>
      <c r="F92" s="34" t="s">
        <v>1399</v>
      </c>
      <c r="G92" s="36" t="s">
        <v>1290</v>
      </c>
      <c r="H92" s="34" t="s">
        <v>1291</v>
      </c>
      <c r="I92" s="34" t="s">
        <v>1292</v>
      </c>
      <c r="J92" s="34" t="s">
        <v>1295</v>
      </c>
      <c r="K92" s="44"/>
      <c r="L92" s="43"/>
    </row>
    <row r="93" spans="1:12" x14ac:dyDescent="0.25">
      <c r="A93" s="34">
        <v>92</v>
      </c>
      <c r="B93" s="35" t="s">
        <v>94</v>
      </c>
      <c r="C93" s="34">
        <v>35217010</v>
      </c>
      <c r="D93" s="34" t="s">
        <v>1397</v>
      </c>
      <c r="E93" s="34" t="s">
        <v>1409</v>
      </c>
      <c r="F93" s="34" t="s">
        <v>1410</v>
      </c>
      <c r="G93" s="36" t="s">
        <v>1290</v>
      </c>
      <c r="H93" s="34" t="s">
        <v>1291</v>
      </c>
      <c r="I93" s="34" t="s">
        <v>1292</v>
      </c>
      <c r="J93" s="34" t="s">
        <v>1293</v>
      </c>
      <c r="K93" s="44"/>
      <c r="L93" s="43"/>
    </row>
    <row r="94" spans="1:12" x14ac:dyDescent="0.25">
      <c r="A94" s="38">
        <v>93</v>
      </c>
      <c r="B94" s="35" t="s">
        <v>95</v>
      </c>
      <c r="C94" s="34">
        <v>24017740</v>
      </c>
      <c r="D94" s="34" t="s">
        <v>1397</v>
      </c>
      <c r="E94" s="34" t="s">
        <v>1408</v>
      </c>
      <c r="F94" s="34" t="s">
        <v>1399</v>
      </c>
      <c r="G94" s="36" t="s">
        <v>1290</v>
      </c>
      <c r="H94" s="34" t="s">
        <v>1300</v>
      </c>
      <c r="I94" s="34" t="s">
        <v>1292</v>
      </c>
      <c r="J94" s="34" t="s">
        <v>1293</v>
      </c>
      <c r="K94" s="44"/>
      <c r="L94" s="43"/>
    </row>
    <row r="95" spans="1:12" x14ac:dyDescent="0.25">
      <c r="A95" s="34">
        <v>94</v>
      </c>
      <c r="B95" s="35" t="s">
        <v>96</v>
      </c>
      <c r="C95" s="34">
        <v>2401500086</v>
      </c>
      <c r="D95" s="34" t="s">
        <v>1397</v>
      </c>
      <c r="E95" s="34" t="s">
        <v>1411</v>
      </c>
      <c r="F95" s="34" t="s">
        <v>1399</v>
      </c>
      <c r="G95" s="36" t="s">
        <v>1290</v>
      </c>
      <c r="H95" s="34" t="s">
        <v>1291</v>
      </c>
      <c r="I95" s="34" t="s">
        <v>1292</v>
      </c>
      <c r="J95" s="34" t="s">
        <v>1295</v>
      </c>
      <c r="K95" s="44"/>
      <c r="L95" s="43"/>
    </row>
    <row r="96" spans="1:12" x14ac:dyDescent="0.25">
      <c r="A96" s="34">
        <v>95</v>
      </c>
      <c r="B96" s="35" t="s">
        <v>97</v>
      </c>
      <c r="C96" s="34">
        <v>2401500080</v>
      </c>
      <c r="D96" s="34" t="s">
        <v>1397</v>
      </c>
      <c r="E96" s="34" t="s">
        <v>1412</v>
      </c>
      <c r="F96" s="34" t="s">
        <v>1399</v>
      </c>
      <c r="G96" s="36" t="s">
        <v>1290</v>
      </c>
      <c r="H96" s="34" t="s">
        <v>1291</v>
      </c>
      <c r="I96" s="34" t="s">
        <v>1292</v>
      </c>
      <c r="J96" s="34" t="s">
        <v>1295</v>
      </c>
      <c r="K96" s="44"/>
      <c r="L96" s="43"/>
    </row>
    <row r="97" spans="1:12" x14ac:dyDescent="0.25">
      <c r="A97" s="34">
        <v>96</v>
      </c>
      <c r="B97" s="35" t="s">
        <v>98</v>
      </c>
      <c r="C97" s="34">
        <v>2403500041</v>
      </c>
      <c r="D97" s="34" t="s">
        <v>1397</v>
      </c>
      <c r="E97" s="34" t="s">
        <v>1413</v>
      </c>
      <c r="F97" s="34" t="s">
        <v>1399</v>
      </c>
      <c r="G97" s="36" t="s">
        <v>1290</v>
      </c>
      <c r="H97" s="34" t="s">
        <v>1291</v>
      </c>
      <c r="I97" s="34" t="s">
        <v>1292</v>
      </c>
      <c r="J97" s="34" t="s">
        <v>1295</v>
      </c>
      <c r="K97" s="44"/>
      <c r="L97" s="43"/>
    </row>
    <row r="98" spans="1:12" x14ac:dyDescent="0.25">
      <c r="A98" s="34">
        <v>97</v>
      </c>
      <c r="B98" s="35" t="s">
        <v>99</v>
      </c>
      <c r="C98" s="34">
        <v>24037190</v>
      </c>
      <c r="D98" s="34" t="s">
        <v>1397</v>
      </c>
      <c r="E98" s="34" t="s">
        <v>1414</v>
      </c>
      <c r="F98" s="34" t="s">
        <v>1399</v>
      </c>
      <c r="G98" s="36" t="s">
        <v>1290</v>
      </c>
      <c r="H98" s="34" t="s">
        <v>1291</v>
      </c>
      <c r="I98" s="34" t="s">
        <v>1292</v>
      </c>
      <c r="J98" s="34" t="s">
        <v>1293</v>
      </c>
      <c r="K98" s="44"/>
      <c r="L98" s="43"/>
    </row>
    <row r="99" spans="1:12" x14ac:dyDescent="0.25">
      <c r="A99" s="34">
        <v>98</v>
      </c>
      <c r="B99" s="35" t="s">
        <v>100</v>
      </c>
      <c r="C99" s="34">
        <v>3602700101</v>
      </c>
      <c r="D99" s="34" t="s">
        <v>1397</v>
      </c>
      <c r="E99" s="34" t="s">
        <v>1415</v>
      </c>
      <c r="F99" s="34" t="s">
        <v>1416</v>
      </c>
      <c r="G99" s="36" t="s">
        <v>1290</v>
      </c>
      <c r="H99" s="34" t="s">
        <v>1291</v>
      </c>
      <c r="I99" s="34" t="s">
        <v>1292</v>
      </c>
      <c r="J99" s="34" t="s">
        <v>1293</v>
      </c>
      <c r="K99" s="44"/>
      <c r="L99" s="34"/>
    </row>
    <row r="100" spans="1:12" x14ac:dyDescent="0.25">
      <c r="A100" s="34">
        <v>99</v>
      </c>
      <c r="B100" s="35" t="s">
        <v>101</v>
      </c>
      <c r="C100" s="34">
        <v>24037030</v>
      </c>
      <c r="D100" s="34" t="s">
        <v>1397</v>
      </c>
      <c r="E100" s="34" t="s">
        <v>1417</v>
      </c>
      <c r="F100" s="34" t="s">
        <v>1399</v>
      </c>
      <c r="G100" s="36" t="s">
        <v>1290</v>
      </c>
      <c r="H100" s="34" t="s">
        <v>1291</v>
      </c>
      <c r="I100" s="34" t="s">
        <v>1292</v>
      </c>
      <c r="J100" s="34" t="s">
        <v>1293</v>
      </c>
      <c r="K100" s="44"/>
      <c r="L100" s="43"/>
    </row>
    <row r="101" spans="1:12" x14ac:dyDescent="0.25">
      <c r="A101" s="38">
        <v>100</v>
      </c>
      <c r="B101" s="35" t="s">
        <v>102</v>
      </c>
      <c r="C101" s="34">
        <v>3519700092</v>
      </c>
      <c r="D101" s="34" t="s">
        <v>1397</v>
      </c>
      <c r="E101" s="34" t="s">
        <v>1418</v>
      </c>
      <c r="F101" s="34" t="s">
        <v>1410</v>
      </c>
      <c r="G101" s="34" t="s">
        <v>1297</v>
      </c>
      <c r="H101" s="34" t="s">
        <v>1291</v>
      </c>
      <c r="I101" s="34" t="s">
        <v>1292</v>
      </c>
      <c r="J101" s="34" t="s">
        <v>1293</v>
      </c>
      <c r="K101" s="44">
        <v>46242</v>
      </c>
      <c r="L101" s="34"/>
    </row>
    <row r="102" spans="1:12" x14ac:dyDescent="0.25">
      <c r="A102" s="34">
        <v>101</v>
      </c>
      <c r="B102" s="35" t="s">
        <v>103</v>
      </c>
      <c r="C102" s="34">
        <v>24037290</v>
      </c>
      <c r="D102" s="34" t="s">
        <v>1397</v>
      </c>
      <c r="E102" s="34" t="s">
        <v>1405</v>
      </c>
      <c r="F102" s="34" t="s">
        <v>1399</v>
      </c>
      <c r="G102" s="36" t="s">
        <v>1290</v>
      </c>
      <c r="H102" s="34" t="s">
        <v>1291</v>
      </c>
      <c r="I102" s="34" t="s">
        <v>1292</v>
      </c>
      <c r="J102" s="34" t="s">
        <v>1293</v>
      </c>
      <c r="K102" s="44"/>
      <c r="L102" s="43"/>
    </row>
    <row r="103" spans="1:12" x14ac:dyDescent="0.25">
      <c r="A103" s="34">
        <v>102</v>
      </c>
      <c r="B103" s="35" t="s">
        <v>104</v>
      </c>
      <c r="C103" s="34">
        <v>23125140</v>
      </c>
      <c r="D103" s="34" t="s">
        <v>1397</v>
      </c>
      <c r="E103" s="34" t="s">
        <v>1419</v>
      </c>
      <c r="F103" s="34" t="s">
        <v>1399</v>
      </c>
      <c r="G103" s="36" t="s">
        <v>1290</v>
      </c>
      <c r="H103" s="34" t="s">
        <v>1291</v>
      </c>
      <c r="I103" s="34" t="s">
        <v>1292</v>
      </c>
      <c r="J103" s="34" t="s">
        <v>1334</v>
      </c>
      <c r="K103" s="44"/>
      <c r="L103" s="43"/>
    </row>
    <row r="104" spans="1:12" x14ac:dyDescent="0.25">
      <c r="A104" s="34">
        <v>103</v>
      </c>
      <c r="B104" s="35" t="s">
        <v>105</v>
      </c>
      <c r="C104" s="34">
        <v>24017600</v>
      </c>
      <c r="D104" s="34" t="s">
        <v>1397</v>
      </c>
      <c r="E104" s="34" t="s">
        <v>1420</v>
      </c>
      <c r="F104" s="34" t="s">
        <v>1399</v>
      </c>
      <c r="G104" s="36" t="s">
        <v>1290</v>
      </c>
      <c r="H104" s="34" t="s">
        <v>1291</v>
      </c>
      <c r="I104" s="34" t="s">
        <v>1292</v>
      </c>
      <c r="J104" s="34" t="s">
        <v>1293</v>
      </c>
      <c r="K104" s="44"/>
      <c r="L104" s="43"/>
    </row>
    <row r="105" spans="1:12" x14ac:dyDescent="0.25">
      <c r="A105" s="34">
        <v>104</v>
      </c>
      <c r="B105" s="35" t="s">
        <v>106</v>
      </c>
      <c r="C105" s="34">
        <v>35197020</v>
      </c>
      <c r="D105" s="34" t="s">
        <v>1397</v>
      </c>
      <c r="E105" s="34" t="s">
        <v>1403</v>
      </c>
      <c r="F105" s="34" t="s">
        <v>1399</v>
      </c>
      <c r="G105" s="36" t="s">
        <v>1290</v>
      </c>
      <c r="H105" s="34" t="s">
        <v>1300</v>
      </c>
      <c r="I105" s="34" t="s">
        <v>1292</v>
      </c>
      <c r="J105" s="34" t="s">
        <v>1293</v>
      </c>
      <c r="K105" s="44"/>
      <c r="L105" s="47"/>
    </row>
    <row r="106" spans="1:12" x14ac:dyDescent="0.25">
      <c r="A106" s="34">
        <v>105</v>
      </c>
      <c r="B106" s="35" t="s">
        <v>107</v>
      </c>
      <c r="C106" s="34">
        <v>52055220</v>
      </c>
      <c r="D106" s="34" t="s">
        <v>1421</v>
      </c>
      <c r="E106" s="34" t="s">
        <v>1422</v>
      </c>
      <c r="F106" s="34" t="s">
        <v>1423</v>
      </c>
      <c r="G106" s="34" t="s">
        <v>1297</v>
      </c>
      <c r="H106" s="34" t="s">
        <v>1291</v>
      </c>
      <c r="I106" s="34" t="s">
        <v>1292</v>
      </c>
      <c r="J106" s="34" t="s">
        <v>1295</v>
      </c>
      <c r="K106" s="44" t="s">
        <v>1424</v>
      </c>
      <c r="L106" s="48"/>
    </row>
    <row r="107" spans="1:12" x14ac:dyDescent="0.25">
      <c r="A107" s="34">
        <v>106</v>
      </c>
      <c r="B107" s="35" t="s">
        <v>108</v>
      </c>
      <c r="C107" s="34">
        <v>52055210</v>
      </c>
      <c r="D107" s="34" t="s">
        <v>1421</v>
      </c>
      <c r="E107" s="34" t="s">
        <v>1425</v>
      </c>
      <c r="F107" s="34" t="s">
        <v>1423</v>
      </c>
      <c r="G107" s="36" t="s">
        <v>1290</v>
      </c>
      <c r="H107" s="34" t="s">
        <v>1291</v>
      </c>
      <c r="I107" s="34" t="s">
        <v>1292</v>
      </c>
      <c r="J107" s="34" t="s">
        <v>1295</v>
      </c>
      <c r="K107" s="44"/>
      <c r="L107" s="49"/>
    </row>
    <row r="108" spans="1:12" x14ac:dyDescent="0.25">
      <c r="A108" s="38">
        <v>107</v>
      </c>
      <c r="B108" s="35" t="s">
        <v>109</v>
      </c>
      <c r="C108" s="34">
        <v>52035040</v>
      </c>
      <c r="D108" s="34" t="s">
        <v>1421</v>
      </c>
      <c r="E108" s="34" t="s">
        <v>1426</v>
      </c>
      <c r="F108" s="34" t="s">
        <v>1423</v>
      </c>
      <c r="G108" s="36" t="s">
        <v>1290</v>
      </c>
      <c r="H108" s="34" t="s">
        <v>1291</v>
      </c>
      <c r="I108" s="34" t="s">
        <v>1292</v>
      </c>
      <c r="J108" s="34" t="s">
        <v>1334</v>
      </c>
      <c r="K108" s="44"/>
      <c r="L108" s="50"/>
    </row>
    <row r="109" spans="1:12" x14ac:dyDescent="0.25">
      <c r="A109" s="34">
        <v>108</v>
      </c>
      <c r="B109" s="35" t="s">
        <v>110</v>
      </c>
      <c r="C109" s="34">
        <v>51039010</v>
      </c>
      <c r="D109" s="34" t="s">
        <v>1421</v>
      </c>
      <c r="E109" s="34" t="s">
        <v>1427</v>
      </c>
      <c r="F109" s="34" t="s">
        <v>1423</v>
      </c>
      <c r="G109" s="34" t="s">
        <v>1297</v>
      </c>
      <c r="H109" s="34" t="s">
        <v>1291</v>
      </c>
      <c r="I109" s="34" t="s">
        <v>1292</v>
      </c>
      <c r="J109" s="34" t="s">
        <v>1346</v>
      </c>
      <c r="K109" s="44" t="s">
        <v>1428</v>
      </c>
      <c r="L109" s="48"/>
    </row>
    <row r="110" spans="1:12" x14ac:dyDescent="0.25">
      <c r="A110" s="34">
        <v>109</v>
      </c>
      <c r="B110" s="35" t="s">
        <v>111</v>
      </c>
      <c r="C110" s="34">
        <v>52045080</v>
      </c>
      <c r="D110" s="34" t="s">
        <v>1421</v>
      </c>
      <c r="E110" s="34" t="s">
        <v>1425</v>
      </c>
      <c r="F110" s="34" t="s">
        <v>1423</v>
      </c>
      <c r="G110" s="36" t="s">
        <v>1290</v>
      </c>
      <c r="H110" s="34" t="s">
        <v>1291</v>
      </c>
      <c r="I110" s="34" t="s">
        <v>1292</v>
      </c>
      <c r="J110" s="34" t="s">
        <v>1334</v>
      </c>
      <c r="K110" s="44"/>
      <c r="L110" s="51"/>
    </row>
    <row r="111" spans="1:12" x14ac:dyDescent="0.25">
      <c r="A111" s="34">
        <v>110</v>
      </c>
      <c r="B111" s="35" t="s">
        <v>112</v>
      </c>
      <c r="C111" s="34">
        <v>52025090</v>
      </c>
      <c r="D111" s="34" t="s">
        <v>1421</v>
      </c>
      <c r="E111" s="34" t="s">
        <v>1429</v>
      </c>
      <c r="F111" s="34" t="s">
        <v>1430</v>
      </c>
      <c r="G111" s="34" t="s">
        <v>1297</v>
      </c>
      <c r="H111" s="38" t="s">
        <v>1291</v>
      </c>
      <c r="I111" s="34" t="s">
        <v>1292</v>
      </c>
      <c r="J111" s="34" t="s">
        <v>1295</v>
      </c>
      <c r="K111" s="44" t="s">
        <v>1431</v>
      </c>
      <c r="L111" s="48"/>
    </row>
    <row r="112" spans="1:12" x14ac:dyDescent="0.25">
      <c r="A112" s="34">
        <v>111</v>
      </c>
      <c r="B112" s="35" t="s">
        <v>113</v>
      </c>
      <c r="C112" s="52">
        <v>52010020</v>
      </c>
      <c r="D112" s="34" t="s">
        <v>1421</v>
      </c>
      <c r="E112" s="34" t="s">
        <v>1432</v>
      </c>
      <c r="F112" s="34" t="s">
        <v>1430</v>
      </c>
      <c r="G112" s="36" t="s">
        <v>1290</v>
      </c>
      <c r="H112" s="34" t="s">
        <v>1300</v>
      </c>
      <c r="I112" s="34" t="s">
        <v>1292</v>
      </c>
      <c r="J112" s="34" t="s">
        <v>1295</v>
      </c>
      <c r="K112" s="44"/>
      <c r="L112" s="51"/>
    </row>
    <row r="113" spans="1:12" x14ac:dyDescent="0.25">
      <c r="A113" s="34">
        <v>112</v>
      </c>
      <c r="B113" s="35" t="s">
        <v>114</v>
      </c>
      <c r="C113" s="34">
        <v>52017030</v>
      </c>
      <c r="D113" s="34" t="s">
        <v>1421</v>
      </c>
      <c r="E113" s="34" t="s">
        <v>1433</v>
      </c>
      <c r="F113" s="34" t="s">
        <v>1430</v>
      </c>
      <c r="G113" s="34" t="s">
        <v>1297</v>
      </c>
      <c r="H113" s="38" t="s">
        <v>1291</v>
      </c>
      <c r="I113" s="34" t="s">
        <v>1292</v>
      </c>
      <c r="J113" s="34" t="s">
        <v>1293</v>
      </c>
      <c r="K113" s="44">
        <v>46272</v>
      </c>
      <c r="L113" s="53" t="s">
        <v>1434</v>
      </c>
    </row>
    <row r="114" spans="1:12" x14ac:dyDescent="0.25">
      <c r="A114" s="34">
        <v>113</v>
      </c>
      <c r="B114" s="35" t="s">
        <v>115</v>
      </c>
      <c r="C114" s="34">
        <v>52057050</v>
      </c>
      <c r="D114" s="34" t="s">
        <v>1421</v>
      </c>
      <c r="E114" s="34" t="s">
        <v>1435</v>
      </c>
      <c r="F114" s="34" t="s">
        <v>1423</v>
      </c>
      <c r="G114" s="36" t="s">
        <v>1290</v>
      </c>
      <c r="H114" s="38" t="s">
        <v>1300</v>
      </c>
      <c r="I114" s="34" t="s">
        <v>1292</v>
      </c>
      <c r="J114" s="34" t="s">
        <v>1293</v>
      </c>
      <c r="K114" s="44"/>
      <c r="L114" s="49"/>
    </row>
    <row r="115" spans="1:12" x14ac:dyDescent="0.25">
      <c r="A115" s="38">
        <v>114</v>
      </c>
      <c r="B115" s="35" t="s">
        <v>116</v>
      </c>
      <c r="C115" s="34">
        <v>5204700100</v>
      </c>
      <c r="D115" s="34" t="s">
        <v>1421</v>
      </c>
      <c r="E115" s="34" t="s">
        <v>1425</v>
      </c>
      <c r="F115" s="34" t="s">
        <v>1423</v>
      </c>
      <c r="G115" s="36" t="s">
        <v>1290</v>
      </c>
      <c r="H115" s="38" t="s">
        <v>1291</v>
      </c>
      <c r="I115" s="34" t="s">
        <v>1292</v>
      </c>
      <c r="J115" s="34" t="s">
        <v>1293</v>
      </c>
      <c r="K115" s="44"/>
      <c r="L115" s="50"/>
    </row>
    <row r="116" spans="1:12" x14ac:dyDescent="0.25">
      <c r="A116" s="34">
        <v>115</v>
      </c>
      <c r="B116" s="35" t="s">
        <v>117</v>
      </c>
      <c r="C116" s="34">
        <v>52025080</v>
      </c>
      <c r="D116" s="34" t="s">
        <v>1421</v>
      </c>
      <c r="E116" s="34" t="s">
        <v>1433</v>
      </c>
      <c r="F116" s="34" t="s">
        <v>1430</v>
      </c>
      <c r="G116" s="34" t="s">
        <v>1297</v>
      </c>
      <c r="H116" s="38" t="s">
        <v>1291</v>
      </c>
      <c r="I116" s="34" t="s">
        <v>1292</v>
      </c>
      <c r="J116" s="34" t="s">
        <v>1334</v>
      </c>
      <c r="K116" s="44" t="s">
        <v>1424</v>
      </c>
      <c r="L116" s="54"/>
    </row>
    <row r="117" spans="1:12" x14ac:dyDescent="0.25">
      <c r="A117" s="34">
        <v>116</v>
      </c>
      <c r="B117" s="35" t="s">
        <v>118</v>
      </c>
      <c r="C117" s="34">
        <v>52055170</v>
      </c>
      <c r="D117" s="34" t="s">
        <v>1421</v>
      </c>
      <c r="E117" s="34" t="s">
        <v>1436</v>
      </c>
      <c r="F117" s="34" t="s">
        <v>1423</v>
      </c>
      <c r="G117" s="36" t="s">
        <v>1290</v>
      </c>
      <c r="H117" s="38" t="s">
        <v>1291</v>
      </c>
      <c r="I117" s="34" t="s">
        <v>1292</v>
      </c>
      <c r="J117" s="34" t="s">
        <v>1295</v>
      </c>
      <c r="K117" s="44">
        <v>45946</v>
      </c>
      <c r="L117" s="55"/>
    </row>
    <row r="118" spans="1:12" x14ac:dyDescent="0.25">
      <c r="A118" s="34">
        <v>117</v>
      </c>
      <c r="B118" s="35" t="s">
        <v>119</v>
      </c>
      <c r="C118" s="34">
        <v>51025080</v>
      </c>
      <c r="D118" s="34" t="s">
        <v>1421</v>
      </c>
      <c r="E118" s="34" t="s">
        <v>1437</v>
      </c>
      <c r="F118" s="34" t="s">
        <v>1423</v>
      </c>
      <c r="G118" s="36" t="s">
        <v>1290</v>
      </c>
      <c r="H118" s="38" t="s">
        <v>1291</v>
      </c>
      <c r="I118" s="34" t="s">
        <v>1292</v>
      </c>
      <c r="J118" s="34" t="s">
        <v>1295</v>
      </c>
      <c r="K118" s="44"/>
      <c r="L118" s="37"/>
    </row>
    <row r="119" spans="1:12" x14ac:dyDescent="0.25">
      <c r="A119" s="34">
        <v>118</v>
      </c>
      <c r="B119" s="35" t="s">
        <v>120</v>
      </c>
      <c r="C119" s="34">
        <v>5205500123</v>
      </c>
      <c r="D119" s="34" t="s">
        <v>1421</v>
      </c>
      <c r="E119" s="34" t="s">
        <v>1425</v>
      </c>
      <c r="F119" s="34" t="s">
        <v>1423</v>
      </c>
      <c r="G119" s="36" t="s">
        <v>1290</v>
      </c>
      <c r="H119" s="38" t="s">
        <v>1300</v>
      </c>
      <c r="I119" s="34" t="s">
        <v>1292</v>
      </c>
      <c r="J119" s="34" t="s">
        <v>1295</v>
      </c>
      <c r="K119" s="44"/>
      <c r="L119" s="37"/>
    </row>
    <row r="120" spans="1:12" x14ac:dyDescent="0.25">
      <c r="A120" s="34">
        <v>119</v>
      </c>
      <c r="B120" s="35" t="s">
        <v>121</v>
      </c>
      <c r="C120" s="34">
        <v>51027050</v>
      </c>
      <c r="D120" s="34" t="s">
        <v>1421</v>
      </c>
      <c r="E120" s="34" t="s">
        <v>1438</v>
      </c>
      <c r="F120" s="34" t="s">
        <v>1423</v>
      </c>
      <c r="G120" s="36" t="s">
        <v>1290</v>
      </c>
      <c r="H120" s="38" t="s">
        <v>1291</v>
      </c>
      <c r="I120" s="34" t="s">
        <v>1292</v>
      </c>
      <c r="J120" s="34" t="s">
        <v>1293</v>
      </c>
      <c r="K120" s="44"/>
      <c r="L120" s="37"/>
    </row>
    <row r="121" spans="1:12" x14ac:dyDescent="0.25">
      <c r="A121" s="34">
        <v>120</v>
      </c>
      <c r="B121" s="35" t="s">
        <v>122</v>
      </c>
      <c r="C121" s="34">
        <v>44017120</v>
      </c>
      <c r="D121" s="34" t="s">
        <v>1421</v>
      </c>
      <c r="E121" s="34" t="s">
        <v>1439</v>
      </c>
      <c r="F121" s="34" t="s">
        <v>1440</v>
      </c>
      <c r="G121" s="36" t="s">
        <v>1290</v>
      </c>
      <c r="H121" s="38" t="s">
        <v>1291</v>
      </c>
      <c r="I121" s="34" t="s">
        <v>1292</v>
      </c>
      <c r="J121" s="34" t="s">
        <v>1293</v>
      </c>
      <c r="K121" s="44"/>
      <c r="L121" s="37"/>
    </row>
    <row r="122" spans="1:12" x14ac:dyDescent="0.25">
      <c r="A122" s="38">
        <v>121</v>
      </c>
      <c r="B122" s="35" t="s">
        <v>123</v>
      </c>
      <c r="C122" s="34">
        <v>44017110</v>
      </c>
      <c r="D122" s="34" t="s">
        <v>1421</v>
      </c>
      <c r="E122" s="34" t="s">
        <v>1439</v>
      </c>
      <c r="F122" s="34" t="s">
        <v>1440</v>
      </c>
      <c r="G122" s="36" t="s">
        <v>1290</v>
      </c>
      <c r="H122" s="38" t="s">
        <v>1300</v>
      </c>
      <c r="I122" s="34" t="s">
        <v>1292</v>
      </c>
      <c r="J122" s="34" t="s">
        <v>1293</v>
      </c>
      <c r="K122" s="44"/>
      <c r="L122" s="37"/>
    </row>
    <row r="123" spans="1:12" x14ac:dyDescent="0.25">
      <c r="A123" s="34">
        <v>122</v>
      </c>
      <c r="B123" s="35" t="s">
        <v>124</v>
      </c>
      <c r="C123" s="34">
        <v>47015100</v>
      </c>
      <c r="D123" s="34" t="s">
        <v>1421</v>
      </c>
      <c r="E123" s="34" t="s">
        <v>1425</v>
      </c>
      <c r="F123" s="34" t="s">
        <v>1423</v>
      </c>
      <c r="G123" s="36" t="s">
        <v>1290</v>
      </c>
      <c r="H123" s="38" t="s">
        <v>1291</v>
      </c>
      <c r="I123" s="34" t="s">
        <v>1292</v>
      </c>
      <c r="J123" s="34" t="s">
        <v>1295</v>
      </c>
      <c r="K123" s="44"/>
      <c r="L123" s="37"/>
    </row>
    <row r="124" spans="1:12" x14ac:dyDescent="0.25">
      <c r="A124" s="34">
        <v>123</v>
      </c>
      <c r="B124" s="35" t="s">
        <v>125</v>
      </c>
      <c r="C124" s="34">
        <v>52040050</v>
      </c>
      <c r="D124" s="34" t="s">
        <v>1421</v>
      </c>
      <c r="E124" s="34" t="s">
        <v>1441</v>
      </c>
      <c r="F124" s="34" t="s">
        <v>1423</v>
      </c>
      <c r="G124" s="36" t="s">
        <v>1290</v>
      </c>
      <c r="H124" s="38" t="s">
        <v>1291</v>
      </c>
      <c r="I124" s="34" t="s">
        <v>1292</v>
      </c>
      <c r="J124" s="34" t="s">
        <v>1375</v>
      </c>
      <c r="K124" s="44"/>
      <c r="L124" s="50"/>
    </row>
    <row r="125" spans="1:12" x14ac:dyDescent="0.25">
      <c r="A125" s="34">
        <v>124</v>
      </c>
      <c r="B125" s="35" t="s">
        <v>126</v>
      </c>
      <c r="C125" s="34">
        <v>52077010</v>
      </c>
      <c r="D125" s="34" t="s">
        <v>1421</v>
      </c>
      <c r="E125" s="34" t="s">
        <v>1442</v>
      </c>
      <c r="F125" s="34" t="s">
        <v>1423</v>
      </c>
      <c r="G125" s="34" t="s">
        <v>1297</v>
      </c>
      <c r="H125" s="38" t="s">
        <v>1291</v>
      </c>
      <c r="I125" s="34" t="s">
        <v>1292</v>
      </c>
      <c r="J125" s="34" t="s">
        <v>1293</v>
      </c>
      <c r="K125" s="44" t="s">
        <v>1424</v>
      </c>
      <c r="L125" s="54"/>
    </row>
    <row r="126" spans="1:12" x14ac:dyDescent="0.25">
      <c r="A126" s="34">
        <v>125</v>
      </c>
      <c r="B126" s="35" t="s">
        <v>127</v>
      </c>
      <c r="C126" s="34">
        <v>51035020</v>
      </c>
      <c r="D126" s="34" t="s">
        <v>1421</v>
      </c>
      <c r="E126" s="34" t="s">
        <v>1427</v>
      </c>
      <c r="F126" s="34" t="s">
        <v>1423</v>
      </c>
      <c r="G126" s="36" t="s">
        <v>1290</v>
      </c>
      <c r="H126" s="38" t="s">
        <v>1291</v>
      </c>
      <c r="I126" s="34" t="s">
        <v>1292</v>
      </c>
      <c r="J126" s="34" t="s">
        <v>1295</v>
      </c>
      <c r="K126" s="44"/>
      <c r="L126" s="55"/>
    </row>
    <row r="127" spans="1:12" x14ac:dyDescent="0.25">
      <c r="A127" s="34">
        <v>126</v>
      </c>
      <c r="B127" s="35" t="s">
        <v>128</v>
      </c>
      <c r="C127" s="34">
        <v>44015070</v>
      </c>
      <c r="D127" s="34" t="s">
        <v>1421</v>
      </c>
      <c r="E127" s="34" t="s">
        <v>1439</v>
      </c>
      <c r="F127" s="34" t="s">
        <v>1440</v>
      </c>
      <c r="G127" s="36" t="s">
        <v>1290</v>
      </c>
      <c r="H127" s="38" t="s">
        <v>1291</v>
      </c>
      <c r="I127" s="34" t="s">
        <v>1292</v>
      </c>
      <c r="J127" s="34" t="s">
        <v>1295</v>
      </c>
      <c r="K127" s="44">
        <v>45848</v>
      </c>
      <c r="L127" s="37"/>
    </row>
    <row r="128" spans="1:12" x14ac:dyDescent="0.25">
      <c r="A128" s="34">
        <v>127</v>
      </c>
      <c r="B128" s="35" t="s">
        <v>129</v>
      </c>
      <c r="C128" s="34">
        <v>47017070</v>
      </c>
      <c r="D128" s="34" t="s">
        <v>1421</v>
      </c>
      <c r="E128" s="34" t="s">
        <v>1443</v>
      </c>
      <c r="F128" s="34" t="s">
        <v>1440</v>
      </c>
      <c r="G128" s="36" t="s">
        <v>1290</v>
      </c>
      <c r="H128" s="38" t="s">
        <v>1291</v>
      </c>
      <c r="I128" s="34" t="s">
        <v>1292</v>
      </c>
      <c r="J128" s="34" t="s">
        <v>1293</v>
      </c>
      <c r="K128" s="44"/>
      <c r="L128" s="37"/>
    </row>
    <row r="129" spans="1:12" x14ac:dyDescent="0.25">
      <c r="A129" s="38">
        <v>128</v>
      </c>
      <c r="B129" s="35" t="s">
        <v>130</v>
      </c>
      <c r="C129" s="34">
        <v>24025090</v>
      </c>
      <c r="D129" s="34" t="s">
        <v>1444</v>
      </c>
      <c r="E129" s="34" t="s">
        <v>1445</v>
      </c>
      <c r="F129" s="34" t="s">
        <v>1446</v>
      </c>
      <c r="G129" s="36" t="s">
        <v>1290</v>
      </c>
      <c r="H129" s="34" t="s">
        <v>1291</v>
      </c>
      <c r="I129" s="34" t="s">
        <v>1292</v>
      </c>
      <c r="J129" s="34" t="s">
        <v>1315</v>
      </c>
      <c r="K129" s="44"/>
      <c r="L129" s="34"/>
    </row>
    <row r="130" spans="1:12" x14ac:dyDescent="0.25">
      <c r="A130" s="34">
        <v>129</v>
      </c>
      <c r="B130" s="35" t="s">
        <v>131</v>
      </c>
      <c r="C130" s="34">
        <v>23127020</v>
      </c>
      <c r="D130" s="34" t="s">
        <v>1444</v>
      </c>
      <c r="E130" s="34" t="s">
        <v>1447</v>
      </c>
      <c r="F130" s="34" t="s">
        <v>1446</v>
      </c>
      <c r="G130" s="36" t="s">
        <v>1290</v>
      </c>
      <c r="H130" s="34" t="s">
        <v>1300</v>
      </c>
      <c r="I130" s="34" t="s">
        <v>1292</v>
      </c>
      <c r="J130" s="34" t="s">
        <v>1293</v>
      </c>
      <c r="K130" s="44"/>
      <c r="L130" s="34"/>
    </row>
    <row r="131" spans="1:12" x14ac:dyDescent="0.25">
      <c r="A131" s="34">
        <v>130</v>
      </c>
      <c r="B131" s="35" t="s">
        <v>132</v>
      </c>
      <c r="C131" s="34">
        <v>24055070</v>
      </c>
      <c r="D131" s="34" t="s">
        <v>1444</v>
      </c>
      <c r="E131" s="34" t="s">
        <v>1448</v>
      </c>
      <c r="F131" s="34" t="s">
        <v>1446</v>
      </c>
      <c r="G131" s="36" t="s">
        <v>1290</v>
      </c>
      <c r="H131" s="34" t="s">
        <v>1291</v>
      </c>
      <c r="I131" s="34" t="s">
        <v>1292</v>
      </c>
      <c r="J131" s="34" t="s">
        <v>1315</v>
      </c>
      <c r="K131" s="44"/>
      <c r="L131" s="34"/>
    </row>
    <row r="132" spans="1:12" x14ac:dyDescent="0.25">
      <c r="A132" s="34">
        <v>131</v>
      </c>
      <c r="B132" s="35" t="s">
        <v>133</v>
      </c>
      <c r="C132" s="34">
        <v>24055080</v>
      </c>
      <c r="D132" s="34" t="s">
        <v>1444</v>
      </c>
      <c r="E132" s="34" t="s">
        <v>1449</v>
      </c>
      <c r="F132" s="34" t="s">
        <v>1446</v>
      </c>
      <c r="G132" s="34" t="s">
        <v>1297</v>
      </c>
      <c r="H132" s="34" t="s">
        <v>1291</v>
      </c>
      <c r="I132" s="34" t="s">
        <v>1292</v>
      </c>
      <c r="J132" s="34" t="s">
        <v>1315</v>
      </c>
      <c r="K132" s="44">
        <v>46303</v>
      </c>
      <c r="L132" s="34"/>
    </row>
    <row r="133" spans="1:12" x14ac:dyDescent="0.25">
      <c r="A133" s="34">
        <v>132</v>
      </c>
      <c r="B133" s="35" t="s">
        <v>134</v>
      </c>
      <c r="C133" s="34">
        <v>37015030</v>
      </c>
      <c r="D133" s="34" t="s">
        <v>1444</v>
      </c>
      <c r="E133" s="34" t="s">
        <v>1450</v>
      </c>
      <c r="F133" s="34" t="s">
        <v>1446</v>
      </c>
      <c r="G133" s="36" t="s">
        <v>1290</v>
      </c>
      <c r="H133" s="34" t="s">
        <v>1291</v>
      </c>
      <c r="I133" s="34" t="s">
        <v>1292</v>
      </c>
      <c r="J133" s="34" t="s">
        <v>1315</v>
      </c>
      <c r="K133" s="44"/>
      <c r="L133" s="34"/>
    </row>
    <row r="134" spans="1:12" x14ac:dyDescent="0.25">
      <c r="A134" s="34">
        <v>133</v>
      </c>
      <c r="B134" s="35" t="s">
        <v>135</v>
      </c>
      <c r="C134" s="34">
        <v>16015120</v>
      </c>
      <c r="D134" s="34" t="s">
        <v>1444</v>
      </c>
      <c r="E134" s="34" t="s">
        <v>1451</v>
      </c>
      <c r="F134" s="34" t="s">
        <v>1452</v>
      </c>
      <c r="G134" s="36" t="s">
        <v>1290</v>
      </c>
      <c r="H134" s="34" t="s">
        <v>1291</v>
      </c>
      <c r="I134" s="34" t="s">
        <v>1292</v>
      </c>
      <c r="J134" s="34" t="s">
        <v>1315</v>
      </c>
      <c r="K134" s="44"/>
      <c r="L134" s="34"/>
    </row>
    <row r="135" spans="1:12" x14ac:dyDescent="0.25">
      <c r="A135" s="34">
        <v>134</v>
      </c>
      <c r="B135" s="35" t="s">
        <v>136</v>
      </c>
      <c r="C135" s="34">
        <v>23217080</v>
      </c>
      <c r="D135" s="34" t="s">
        <v>1444</v>
      </c>
      <c r="E135" s="34" t="s">
        <v>1453</v>
      </c>
      <c r="F135" s="34" t="s">
        <v>1389</v>
      </c>
      <c r="G135" s="36" t="s">
        <v>1290</v>
      </c>
      <c r="H135" s="34" t="s">
        <v>1291</v>
      </c>
      <c r="I135" s="34" t="s">
        <v>1292</v>
      </c>
      <c r="J135" s="34" t="s">
        <v>1293</v>
      </c>
      <c r="K135" s="44"/>
      <c r="L135" s="34"/>
    </row>
    <row r="136" spans="1:12" x14ac:dyDescent="0.25">
      <c r="A136" s="38">
        <v>135</v>
      </c>
      <c r="B136" s="35" t="s">
        <v>137</v>
      </c>
      <c r="C136" s="34">
        <v>23195090</v>
      </c>
      <c r="D136" s="34" t="s">
        <v>1444</v>
      </c>
      <c r="E136" s="34" t="s">
        <v>1454</v>
      </c>
      <c r="F136" s="34" t="s">
        <v>1446</v>
      </c>
      <c r="G136" s="36" t="s">
        <v>1290</v>
      </c>
      <c r="H136" s="34" t="s">
        <v>1291</v>
      </c>
      <c r="I136" s="34" t="s">
        <v>1292</v>
      </c>
      <c r="J136" s="34" t="s">
        <v>1334</v>
      </c>
      <c r="K136" s="44"/>
      <c r="L136" s="34"/>
    </row>
    <row r="137" spans="1:12" x14ac:dyDescent="0.25">
      <c r="A137" s="34">
        <v>136</v>
      </c>
      <c r="B137" s="35" t="s">
        <v>138</v>
      </c>
      <c r="C137" s="34">
        <v>23195110</v>
      </c>
      <c r="D137" s="34" t="s">
        <v>1444</v>
      </c>
      <c r="E137" s="34" t="s">
        <v>1455</v>
      </c>
      <c r="F137" s="34" t="s">
        <v>1446</v>
      </c>
      <c r="G137" s="36" t="s">
        <v>1290</v>
      </c>
      <c r="H137" s="34" t="s">
        <v>1291</v>
      </c>
      <c r="I137" s="34" t="s">
        <v>1292</v>
      </c>
      <c r="J137" s="34" t="s">
        <v>1334</v>
      </c>
      <c r="K137" s="44"/>
      <c r="L137" s="34"/>
    </row>
    <row r="138" spans="1:12" x14ac:dyDescent="0.25">
      <c r="A138" s="34">
        <v>137</v>
      </c>
      <c r="B138" s="35" t="s">
        <v>139</v>
      </c>
      <c r="C138" s="34">
        <v>16025040</v>
      </c>
      <c r="D138" s="34" t="s">
        <v>1444</v>
      </c>
      <c r="E138" s="34" t="s">
        <v>1456</v>
      </c>
      <c r="F138" s="34" t="s">
        <v>1452</v>
      </c>
      <c r="G138" s="36" t="s">
        <v>1290</v>
      </c>
      <c r="H138" s="34" t="s">
        <v>1291</v>
      </c>
      <c r="I138" s="34" t="s">
        <v>1292</v>
      </c>
      <c r="J138" s="34" t="s">
        <v>1295</v>
      </c>
      <c r="K138" s="44" t="s">
        <v>1457</v>
      </c>
      <c r="L138" s="34"/>
    </row>
    <row r="139" spans="1:12" x14ac:dyDescent="0.25">
      <c r="A139" s="34">
        <v>138</v>
      </c>
      <c r="B139" s="35" t="s">
        <v>140</v>
      </c>
      <c r="C139" s="34">
        <v>23195200</v>
      </c>
      <c r="D139" s="34" t="s">
        <v>1444</v>
      </c>
      <c r="E139" s="34" t="s">
        <v>1454</v>
      </c>
      <c r="F139" s="34" t="s">
        <v>1446</v>
      </c>
      <c r="G139" s="36" t="s">
        <v>1290</v>
      </c>
      <c r="H139" s="34" t="s">
        <v>1291</v>
      </c>
      <c r="I139" s="34" t="s">
        <v>1292</v>
      </c>
      <c r="J139" s="34" t="s">
        <v>1334</v>
      </c>
      <c r="K139" s="44"/>
      <c r="L139" s="34"/>
    </row>
    <row r="140" spans="1:12" x14ac:dyDescent="0.25">
      <c r="A140" s="34">
        <v>139</v>
      </c>
      <c r="B140" s="35" t="s">
        <v>141</v>
      </c>
      <c r="C140" s="34">
        <v>23180070</v>
      </c>
      <c r="D140" s="34" t="s">
        <v>1444</v>
      </c>
      <c r="E140" s="34" t="s">
        <v>1458</v>
      </c>
      <c r="F140" s="34" t="s">
        <v>1446</v>
      </c>
      <c r="G140" s="36" t="s">
        <v>1290</v>
      </c>
      <c r="H140" s="34" t="s">
        <v>1291</v>
      </c>
      <c r="I140" s="34" t="s">
        <v>1292</v>
      </c>
      <c r="J140" s="34" t="s">
        <v>1375</v>
      </c>
      <c r="K140" s="44"/>
      <c r="L140" s="34"/>
    </row>
    <row r="141" spans="1:12" x14ac:dyDescent="0.25">
      <c r="A141" s="34">
        <v>140</v>
      </c>
      <c r="B141" s="35" t="s">
        <v>142</v>
      </c>
      <c r="C141" s="34">
        <v>24017590</v>
      </c>
      <c r="D141" s="34" t="s">
        <v>1444</v>
      </c>
      <c r="E141" s="34" t="s">
        <v>1459</v>
      </c>
      <c r="F141" s="34" t="s">
        <v>1446</v>
      </c>
      <c r="G141" s="36" t="s">
        <v>1290</v>
      </c>
      <c r="H141" s="34" t="s">
        <v>1291</v>
      </c>
      <c r="I141" s="34" t="s">
        <v>1292</v>
      </c>
      <c r="J141" s="34" t="s">
        <v>1293</v>
      </c>
      <c r="K141" s="44"/>
      <c r="L141" s="34"/>
    </row>
    <row r="142" spans="1:12" x14ac:dyDescent="0.25">
      <c r="A142" s="34">
        <v>141</v>
      </c>
      <c r="B142" s="35" t="s">
        <v>143</v>
      </c>
      <c r="C142" s="34">
        <v>2319500043</v>
      </c>
      <c r="D142" s="34" t="s">
        <v>1444</v>
      </c>
      <c r="E142" s="34" t="s">
        <v>1460</v>
      </c>
      <c r="F142" s="34" t="s">
        <v>1446</v>
      </c>
      <c r="G142" s="36" t="s">
        <v>1290</v>
      </c>
      <c r="H142" s="34" t="s">
        <v>1291</v>
      </c>
      <c r="I142" s="34" t="s">
        <v>1292</v>
      </c>
      <c r="J142" s="34" t="s">
        <v>1295</v>
      </c>
      <c r="K142" s="44"/>
      <c r="L142" s="34"/>
    </row>
    <row r="143" spans="1:12" x14ac:dyDescent="0.25">
      <c r="A143" s="38">
        <v>142</v>
      </c>
      <c r="B143" s="35" t="s">
        <v>144</v>
      </c>
      <c r="C143" s="34">
        <v>2401500052</v>
      </c>
      <c r="D143" s="34" t="s">
        <v>1444</v>
      </c>
      <c r="E143" s="34" t="s">
        <v>1459</v>
      </c>
      <c r="F143" s="34" t="s">
        <v>1446</v>
      </c>
      <c r="G143" s="36" t="s">
        <v>1290</v>
      </c>
      <c r="H143" s="34" t="s">
        <v>1291</v>
      </c>
      <c r="I143" s="34" t="s">
        <v>1292</v>
      </c>
      <c r="J143" s="34" t="s">
        <v>1295</v>
      </c>
      <c r="K143" s="44"/>
      <c r="L143" s="34"/>
    </row>
    <row r="144" spans="1:12" x14ac:dyDescent="0.25">
      <c r="A144" s="34">
        <v>143</v>
      </c>
      <c r="B144" s="35" t="s">
        <v>145</v>
      </c>
      <c r="C144" s="34">
        <v>3701500114</v>
      </c>
      <c r="D144" s="34" t="s">
        <v>1444</v>
      </c>
      <c r="E144" s="34" t="s">
        <v>1461</v>
      </c>
      <c r="F144" s="34" t="s">
        <v>1452</v>
      </c>
      <c r="G144" s="36" t="s">
        <v>1290</v>
      </c>
      <c r="H144" s="34" t="s">
        <v>1291</v>
      </c>
      <c r="I144" s="34" t="s">
        <v>1292</v>
      </c>
      <c r="J144" s="34" t="s">
        <v>1295</v>
      </c>
      <c r="K144" s="44"/>
      <c r="L144" s="34"/>
    </row>
    <row r="145" spans="1:12" x14ac:dyDescent="0.25">
      <c r="A145" s="34">
        <v>144</v>
      </c>
      <c r="B145" s="35" t="s">
        <v>146</v>
      </c>
      <c r="C145" s="34">
        <v>2319500125</v>
      </c>
      <c r="D145" s="34" t="s">
        <v>1444</v>
      </c>
      <c r="E145" s="34" t="s">
        <v>1462</v>
      </c>
      <c r="F145" s="34" t="s">
        <v>1452</v>
      </c>
      <c r="G145" s="36" t="s">
        <v>1290</v>
      </c>
      <c r="H145" s="34" t="s">
        <v>1291</v>
      </c>
      <c r="I145" s="34" t="s">
        <v>1292</v>
      </c>
      <c r="J145" s="34" t="s">
        <v>1295</v>
      </c>
      <c r="K145" s="44"/>
      <c r="L145" s="34"/>
    </row>
    <row r="146" spans="1:12" x14ac:dyDescent="0.25">
      <c r="A146" s="34">
        <v>145</v>
      </c>
      <c r="B146" s="35" t="s">
        <v>147</v>
      </c>
      <c r="C146" s="34">
        <v>1602500110</v>
      </c>
      <c r="D146" s="34" t="s">
        <v>1444</v>
      </c>
      <c r="E146" s="34" t="s">
        <v>1463</v>
      </c>
      <c r="F146" s="34" t="s">
        <v>1452</v>
      </c>
      <c r="G146" s="36" t="s">
        <v>1290</v>
      </c>
      <c r="H146" s="34" t="s">
        <v>1291</v>
      </c>
      <c r="I146" s="34" t="s">
        <v>1292</v>
      </c>
      <c r="J146" s="34" t="s">
        <v>1295</v>
      </c>
      <c r="K146" s="44">
        <v>45986</v>
      </c>
      <c r="L146" s="34"/>
    </row>
    <row r="147" spans="1:12" x14ac:dyDescent="0.25">
      <c r="A147" s="34">
        <v>146</v>
      </c>
      <c r="B147" s="35" t="s">
        <v>148</v>
      </c>
      <c r="C147" s="34">
        <v>23195240</v>
      </c>
      <c r="D147" s="34" t="s">
        <v>1444</v>
      </c>
      <c r="E147" s="34" t="s">
        <v>1464</v>
      </c>
      <c r="F147" s="34" t="s">
        <v>1389</v>
      </c>
      <c r="G147" s="36" t="s">
        <v>1290</v>
      </c>
      <c r="H147" s="34" t="s">
        <v>1291</v>
      </c>
      <c r="I147" s="34" t="s">
        <v>1292</v>
      </c>
      <c r="J147" s="34" t="s">
        <v>1315</v>
      </c>
      <c r="K147" s="44"/>
      <c r="L147" s="34"/>
    </row>
    <row r="148" spans="1:12" x14ac:dyDescent="0.25">
      <c r="A148" s="34">
        <v>147</v>
      </c>
      <c r="B148" s="35" t="s">
        <v>149</v>
      </c>
      <c r="C148" s="34">
        <v>24017640</v>
      </c>
      <c r="D148" s="34" t="s">
        <v>1444</v>
      </c>
      <c r="E148" s="34" t="s">
        <v>1465</v>
      </c>
      <c r="F148" s="34" t="s">
        <v>1446</v>
      </c>
      <c r="G148" s="36" t="s">
        <v>1290</v>
      </c>
      <c r="H148" s="34" t="s">
        <v>1291</v>
      </c>
      <c r="I148" s="34" t="s">
        <v>1292</v>
      </c>
      <c r="J148" s="34" t="s">
        <v>1293</v>
      </c>
      <c r="K148" s="44"/>
      <c r="L148" s="34"/>
    </row>
    <row r="149" spans="1:12" x14ac:dyDescent="0.25">
      <c r="A149" s="34">
        <v>148</v>
      </c>
      <c r="B149" s="35" t="s">
        <v>150</v>
      </c>
      <c r="C149" s="34">
        <v>16015110</v>
      </c>
      <c r="D149" s="34" t="s">
        <v>1444</v>
      </c>
      <c r="E149" s="34" t="s">
        <v>1456</v>
      </c>
      <c r="F149" s="34" t="s">
        <v>1452</v>
      </c>
      <c r="G149" s="36" t="s">
        <v>1290</v>
      </c>
      <c r="H149" s="34" t="s">
        <v>1291</v>
      </c>
      <c r="I149" s="34" t="s">
        <v>1292</v>
      </c>
      <c r="J149" s="34" t="s">
        <v>1295</v>
      </c>
      <c r="K149" s="44"/>
      <c r="L149" s="43"/>
    </row>
    <row r="150" spans="1:12" x14ac:dyDescent="0.25">
      <c r="A150" s="38">
        <v>149</v>
      </c>
      <c r="B150" s="35" t="s">
        <v>151</v>
      </c>
      <c r="C150" s="34">
        <v>3706500109</v>
      </c>
      <c r="D150" s="34" t="s">
        <v>1444</v>
      </c>
      <c r="E150" s="34" t="s">
        <v>1416</v>
      </c>
      <c r="F150" s="34" t="s">
        <v>1416</v>
      </c>
      <c r="G150" s="36" t="s">
        <v>1290</v>
      </c>
      <c r="H150" s="34" t="s">
        <v>1291</v>
      </c>
      <c r="I150" s="34" t="s">
        <v>1292</v>
      </c>
      <c r="J150" s="34" t="s">
        <v>1295</v>
      </c>
      <c r="K150" s="44"/>
      <c r="L150" s="43"/>
    </row>
    <row r="151" spans="1:12" x14ac:dyDescent="0.25">
      <c r="A151" s="34">
        <v>150</v>
      </c>
      <c r="B151" s="35" t="s">
        <v>152</v>
      </c>
      <c r="C151" s="34">
        <v>1602500044</v>
      </c>
      <c r="D151" s="34" t="s">
        <v>1444</v>
      </c>
      <c r="E151" s="34" t="s">
        <v>1466</v>
      </c>
      <c r="F151" s="34" t="s">
        <v>1452</v>
      </c>
      <c r="G151" s="36" t="s">
        <v>1290</v>
      </c>
      <c r="H151" s="34" t="s">
        <v>1291</v>
      </c>
      <c r="I151" s="34" t="s">
        <v>1292</v>
      </c>
      <c r="J151" s="34" t="s">
        <v>1295</v>
      </c>
      <c r="K151" s="44"/>
      <c r="L151" s="34"/>
    </row>
    <row r="152" spans="1:12" x14ac:dyDescent="0.25">
      <c r="A152" s="34">
        <v>151</v>
      </c>
      <c r="B152" s="34" t="s">
        <v>153</v>
      </c>
      <c r="C152" s="34">
        <v>3702500113</v>
      </c>
      <c r="D152" s="34" t="s">
        <v>1444</v>
      </c>
      <c r="E152" s="34" t="s">
        <v>1461</v>
      </c>
      <c r="F152" s="34" t="s">
        <v>1452</v>
      </c>
      <c r="G152" s="34" t="s">
        <v>1344</v>
      </c>
      <c r="H152" s="34" t="s">
        <v>1345</v>
      </c>
      <c r="I152" s="34" t="s">
        <v>1292</v>
      </c>
      <c r="J152" s="34" t="s">
        <v>1295</v>
      </c>
      <c r="K152" s="44" t="s">
        <v>1467</v>
      </c>
      <c r="L152" s="34" t="s">
        <v>1468</v>
      </c>
    </row>
    <row r="153" spans="1:12" x14ac:dyDescent="0.25">
      <c r="A153" s="34">
        <v>152</v>
      </c>
      <c r="B153" s="35" t="s">
        <v>154</v>
      </c>
      <c r="C153" s="34">
        <v>23197700</v>
      </c>
      <c r="D153" s="34" t="s">
        <v>1444</v>
      </c>
      <c r="E153" s="34" t="s">
        <v>1469</v>
      </c>
      <c r="F153" s="34" t="s">
        <v>1446</v>
      </c>
      <c r="G153" s="36" t="s">
        <v>1290</v>
      </c>
      <c r="H153" s="34" t="s">
        <v>1291</v>
      </c>
      <c r="I153" s="34" t="s">
        <v>1292</v>
      </c>
      <c r="J153" s="34" t="s">
        <v>1328</v>
      </c>
      <c r="K153" s="44"/>
      <c r="L153" s="34"/>
    </row>
    <row r="154" spans="1:12" x14ac:dyDescent="0.25">
      <c r="A154" s="34">
        <v>153</v>
      </c>
      <c r="B154" s="35" t="s">
        <v>155</v>
      </c>
      <c r="C154" s="34">
        <v>23190130</v>
      </c>
      <c r="D154" s="34" t="s">
        <v>1444</v>
      </c>
      <c r="E154" s="34" t="s">
        <v>1450</v>
      </c>
      <c r="F154" s="34" t="s">
        <v>1446</v>
      </c>
      <c r="G154" s="36" t="s">
        <v>1290</v>
      </c>
      <c r="H154" s="34" t="s">
        <v>1291</v>
      </c>
      <c r="I154" s="34" t="s">
        <v>1292</v>
      </c>
      <c r="J154" s="34" t="s">
        <v>1295</v>
      </c>
      <c r="K154" s="44"/>
      <c r="L154" s="34"/>
    </row>
    <row r="155" spans="1:12" x14ac:dyDescent="0.25">
      <c r="A155" s="34">
        <v>154</v>
      </c>
      <c r="B155" s="35" t="s">
        <v>156</v>
      </c>
      <c r="C155" s="34">
        <v>23190700</v>
      </c>
      <c r="D155" s="34" t="s">
        <v>1444</v>
      </c>
      <c r="E155" s="34" t="s">
        <v>1470</v>
      </c>
      <c r="F155" s="34" t="s">
        <v>1446</v>
      </c>
      <c r="G155" s="36" t="s">
        <v>1290</v>
      </c>
      <c r="H155" s="34" t="s">
        <v>1291</v>
      </c>
      <c r="I155" s="34" t="s">
        <v>1292</v>
      </c>
      <c r="J155" s="34" t="s">
        <v>1320</v>
      </c>
      <c r="K155" s="44"/>
      <c r="L155" s="34"/>
    </row>
    <row r="156" spans="1:12" x14ac:dyDescent="0.25">
      <c r="A156" s="34">
        <v>155</v>
      </c>
      <c r="B156" s="35" t="s">
        <v>157</v>
      </c>
      <c r="C156" s="34">
        <v>23127060</v>
      </c>
      <c r="D156" s="34" t="s">
        <v>1444</v>
      </c>
      <c r="E156" s="34" t="s">
        <v>1447</v>
      </c>
      <c r="F156" s="34" t="s">
        <v>1446</v>
      </c>
      <c r="G156" s="36" t="s">
        <v>1290</v>
      </c>
      <c r="H156" s="34" t="s">
        <v>1300</v>
      </c>
      <c r="I156" s="34" t="s">
        <v>1292</v>
      </c>
      <c r="J156" s="34" t="s">
        <v>1328</v>
      </c>
      <c r="K156" s="44"/>
      <c r="L156" s="34"/>
    </row>
    <row r="157" spans="1:12" x14ac:dyDescent="0.25">
      <c r="A157" s="38">
        <v>156</v>
      </c>
      <c r="B157" s="34" t="s">
        <v>158</v>
      </c>
      <c r="C157" s="34">
        <v>2319700096</v>
      </c>
      <c r="D157" s="34" t="s">
        <v>1444</v>
      </c>
      <c r="E157" s="34" t="s">
        <v>1471</v>
      </c>
      <c r="F157" s="34" t="s">
        <v>1446</v>
      </c>
      <c r="G157" s="34" t="s">
        <v>1297</v>
      </c>
      <c r="H157" s="34" t="s">
        <v>1391</v>
      </c>
      <c r="I157" s="34" t="s">
        <v>1292</v>
      </c>
      <c r="J157" s="34" t="s">
        <v>1293</v>
      </c>
      <c r="K157" s="44">
        <v>46115</v>
      </c>
      <c r="L157" s="46" t="s">
        <v>1392</v>
      </c>
    </row>
    <row r="158" spans="1:12" x14ac:dyDescent="0.25">
      <c r="A158" s="34">
        <v>157</v>
      </c>
      <c r="B158" s="35" t="s">
        <v>159</v>
      </c>
      <c r="C158" s="34">
        <v>16055120</v>
      </c>
      <c r="D158" s="34" t="s">
        <v>1444</v>
      </c>
      <c r="E158" s="34" t="s">
        <v>1472</v>
      </c>
      <c r="F158" s="34" t="s">
        <v>1452</v>
      </c>
      <c r="G158" s="36" t="s">
        <v>1290</v>
      </c>
      <c r="H158" s="34" t="s">
        <v>1291</v>
      </c>
      <c r="I158" s="34" t="s">
        <v>1292</v>
      </c>
      <c r="J158" s="34" t="s">
        <v>1295</v>
      </c>
      <c r="K158" s="44"/>
      <c r="L158" s="34"/>
    </row>
    <row r="159" spans="1:12" x14ac:dyDescent="0.25">
      <c r="A159" s="34">
        <v>158</v>
      </c>
      <c r="B159" s="34" t="s">
        <v>160</v>
      </c>
      <c r="C159" s="34">
        <v>26015010</v>
      </c>
      <c r="D159" s="34" t="s">
        <v>1473</v>
      </c>
      <c r="E159" s="34" t="s">
        <v>1474</v>
      </c>
      <c r="F159" s="34" t="s">
        <v>1430</v>
      </c>
      <c r="G159" s="34" t="s">
        <v>1297</v>
      </c>
      <c r="H159" s="34" t="s">
        <v>1391</v>
      </c>
      <c r="I159" s="34" t="s">
        <v>1292</v>
      </c>
      <c r="J159" s="34" t="s">
        <v>1295</v>
      </c>
      <c r="K159" s="44">
        <v>46085</v>
      </c>
      <c r="L159" s="46" t="s">
        <v>1392</v>
      </c>
    </row>
    <row r="160" spans="1:12" x14ac:dyDescent="0.25">
      <c r="A160" s="34">
        <v>159</v>
      </c>
      <c r="B160" s="35" t="s">
        <v>161</v>
      </c>
      <c r="C160" s="34">
        <v>26075120</v>
      </c>
      <c r="D160" s="34" t="s">
        <v>1473</v>
      </c>
      <c r="E160" s="34" t="s">
        <v>1475</v>
      </c>
      <c r="F160" s="34" t="s">
        <v>1476</v>
      </c>
      <c r="G160" s="56" t="s">
        <v>1290</v>
      </c>
      <c r="H160" s="34" t="s">
        <v>1291</v>
      </c>
      <c r="I160" s="34" t="s">
        <v>1292</v>
      </c>
      <c r="J160" s="34" t="s">
        <v>1295</v>
      </c>
      <c r="K160" s="44"/>
      <c r="L160" s="43"/>
    </row>
    <row r="161" spans="1:12" x14ac:dyDescent="0.25">
      <c r="A161" s="34">
        <v>160</v>
      </c>
      <c r="B161" s="35" t="s">
        <v>162</v>
      </c>
      <c r="C161" s="34">
        <v>26055120</v>
      </c>
      <c r="D161" s="34" t="s">
        <v>1473</v>
      </c>
      <c r="E161" s="34" t="s">
        <v>1477</v>
      </c>
      <c r="F161" s="34" t="s">
        <v>1476</v>
      </c>
      <c r="G161" s="56" t="s">
        <v>1290</v>
      </c>
      <c r="H161" s="34" t="s">
        <v>1291</v>
      </c>
      <c r="I161" s="34" t="s">
        <v>1292</v>
      </c>
      <c r="J161" s="34" t="s">
        <v>1295</v>
      </c>
      <c r="K161" s="44"/>
      <c r="L161" s="43"/>
    </row>
    <row r="162" spans="1:12" x14ac:dyDescent="0.25">
      <c r="A162" s="34">
        <v>161</v>
      </c>
      <c r="B162" s="35" t="s">
        <v>163</v>
      </c>
      <c r="C162" s="34">
        <v>26085160</v>
      </c>
      <c r="D162" s="34" t="s">
        <v>1473</v>
      </c>
      <c r="E162" s="34" t="s">
        <v>1477</v>
      </c>
      <c r="F162" s="34" t="s">
        <v>1476</v>
      </c>
      <c r="G162" s="56" t="s">
        <v>1290</v>
      </c>
      <c r="H162" s="34" t="s">
        <v>1291</v>
      </c>
      <c r="I162" s="34" t="s">
        <v>1292</v>
      </c>
      <c r="J162" s="34" t="s">
        <v>1295</v>
      </c>
      <c r="K162" s="44"/>
      <c r="L162" s="43"/>
    </row>
    <row r="163" spans="1:12" x14ac:dyDescent="0.25">
      <c r="A163" s="34">
        <v>162</v>
      </c>
      <c r="B163" s="35" t="s">
        <v>164</v>
      </c>
      <c r="C163" s="34">
        <v>53119010</v>
      </c>
      <c r="D163" s="34" t="s">
        <v>1473</v>
      </c>
      <c r="E163" s="34" t="s">
        <v>1478</v>
      </c>
      <c r="F163" s="34" t="s">
        <v>1476</v>
      </c>
      <c r="G163" s="56" t="s">
        <v>1290</v>
      </c>
      <c r="H163" s="34" t="s">
        <v>1291</v>
      </c>
      <c r="I163" s="34" t="s">
        <v>1292</v>
      </c>
      <c r="J163" s="34" t="s">
        <v>1346</v>
      </c>
      <c r="K163" s="44"/>
      <c r="L163" s="43"/>
    </row>
    <row r="164" spans="1:12" x14ac:dyDescent="0.25">
      <c r="A164" s="38">
        <v>163</v>
      </c>
      <c r="B164" s="35" t="s">
        <v>165</v>
      </c>
      <c r="C164" s="34">
        <v>26105250</v>
      </c>
      <c r="D164" s="34" t="s">
        <v>1473</v>
      </c>
      <c r="E164" s="34" t="s">
        <v>1479</v>
      </c>
      <c r="F164" s="34" t="s">
        <v>1476</v>
      </c>
      <c r="G164" s="56" t="s">
        <v>1290</v>
      </c>
      <c r="H164" s="34" t="s">
        <v>1291</v>
      </c>
      <c r="I164" s="34" t="s">
        <v>1292</v>
      </c>
      <c r="J164" s="34" t="s">
        <v>1315</v>
      </c>
      <c r="K164" s="44"/>
      <c r="L164" s="34"/>
    </row>
    <row r="165" spans="1:12" x14ac:dyDescent="0.25">
      <c r="A165" s="34">
        <v>164</v>
      </c>
      <c r="B165" s="35" t="s">
        <v>166</v>
      </c>
      <c r="C165" s="34">
        <v>26125300</v>
      </c>
      <c r="D165" s="34" t="s">
        <v>1473</v>
      </c>
      <c r="E165" s="34" t="s">
        <v>1480</v>
      </c>
      <c r="F165" s="34" t="s">
        <v>1481</v>
      </c>
      <c r="G165" s="56" t="s">
        <v>1290</v>
      </c>
      <c r="H165" s="34" t="s">
        <v>1291</v>
      </c>
      <c r="I165" s="34" t="s">
        <v>1292</v>
      </c>
      <c r="J165" s="34" t="s">
        <v>1295</v>
      </c>
      <c r="K165" s="44"/>
      <c r="L165" s="43"/>
    </row>
    <row r="166" spans="1:12" x14ac:dyDescent="0.25">
      <c r="A166" s="34">
        <v>165</v>
      </c>
      <c r="B166" s="35" t="s">
        <v>167</v>
      </c>
      <c r="C166" s="34">
        <v>55015010</v>
      </c>
      <c r="D166" s="34" t="s">
        <v>1473</v>
      </c>
      <c r="E166" s="34" t="s">
        <v>1482</v>
      </c>
      <c r="F166" s="34" t="s">
        <v>1303</v>
      </c>
      <c r="G166" s="34" t="s">
        <v>1297</v>
      </c>
      <c r="H166" s="34" t="s">
        <v>1291</v>
      </c>
      <c r="I166" s="34" t="s">
        <v>1292</v>
      </c>
      <c r="J166" s="34" t="s">
        <v>1295</v>
      </c>
      <c r="K166" s="44" t="s">
        <v>1483</v>
      </c>
      <c r="L166" s="43"/>
    </row>
    <row r="167" spans="1:12" x14ac:dyDescent="0.25">
      <c r="A167" s="34">
        <v>166</v>
      </c>
      <c r="B167" s="35" t="s">
        <v>168</v>
      </c>
      <c r="C167" s="34">
        <v>26155110</v>
      </c>
      <c r="D167" s="34" t="s">
        <v>1473</v>
      </c>
      <c r="E167" s="34" t="s">
        <v>1484</v>
      </c>
      <c r="F167" s="34" t="s">
        <v>1485</v>
      </c>
      <c r="G167" s="56" t="s">
        <v>1290</v>
      </c>
      <c r="H167" s="34" t="s">
        <v>1291</v>
      </c>
      <c r="I167" s="34" t="s">
        <v>1292</v>
      </c>
      <c r="J167" s="34" t="s">
        <v>1295</v>
      </c>
      <c r="K167" s="44"/>
      <c r="L167" s="43"/>
    </row>
    <row r="168" spans="1:12" x14ac:dyDescent="0.25">
      <c r="A168" s="34">
        <v>167</v>
      </c>
      <c r="B168" s="35" t="s">
        <v>169</v>
      </c>
      <c r="C168" s="34">
        <v>26015040</v>
      </c>
      <c r="D168" s="34" t="s">
        <v>1473</v>
      </c>
      <c r="E168" s="34" t="s">
        <v>1474</v>
      </c>
      <c r="F168" s="34" t="s">
        <v>1430</v>
      </c>
      <c r="G168" s="56" t="s">
        <v>1290</v>
      </c>
      <c r="H168" s="34" t="s">
        <v>1300</v>
      </c>
      <c r="I168" s="34" t="s">
        <v>1292</v>
      </c>
      <c r="J168" s="34" t="s">
        <v>1295</v>
      </c>
      <c r="K168" s="44"/>
      <c r="L168" s="43"/>
    </row>
    <row r="169" spans="1:12" x14ac:dyDescent="0.25">
      <c r="A169" s="34">
        <v>168</v>
      </c>
      <c r="B169" s="34" t="s">
        <v>170</v>
      </c>
      <c r="C169" s="34">
        <v>26027200</v>
      </c>
      <c r="D169" s="34" t="s">
        <v>1473</v>
      </c>
      <c r="E169" s="34" t="s">
        <v>1474</v>
      </c>
      <c r="F169" s="34" t="s">
        <v>1430</v>
      </c>
      <c r="G169" s="34" t="s">
        <v>1297</v>
      </c>
      <c r="H169" s="34" t="s">
        <v>1391</v>
      </c>
      <c r="I169" s="34" t="s">
        <v>1292</v>
      </c>
      <c r="J169" s="34" t="s">
        <v>1328</v>
      </c>
      <c r="K169" s="44">
        <v>46085</v>
      </c>
      <c r="L169" s="46" t="s">
        <v>1392</v>
      </c>
    </row>
    <row r="170" spans="1:12" x14ac:dyDescent="0.25">
      <c r="A170" s="34">
        <v>169</v>
      </c>
      <c r="B170" s="35" t="s">
        <v>171</v>
      </c>
      <c r="C170" s="34">
        <v>26167070</v>
      </c>
      <c r="D170" s="34" t="s">
        <v>1473</v>
      </c>
      <c r="E170" s="34" t="s">
        <v>1486</v>
      </c>
      <c r="F170" s="34" t="s">
        <v>1485</v>
      </c>
      <c r="G170" s="34" t="s">
        <v>1297</v>
      </c>
      <c r="H170" s="34" t="s">
        <v>1291</v>
      </c>
      <c r="I170" s="34" t="s">
        <v>1292</v>
      </c>
      <c r="J170" s="34" t="s">
        <v>1293</v>
      </c>
      <c r="K170" s="44">
        <v>46272</v>
      </c>
      <c r="L170" s="43"/>
    </row>
    <row r="171" spans="1:12" x14ac:dyDescent="0.25">
      <c r="A171" s="38">
        <v>170</v>
      </c>
      <c r="B171" s="35" t="s">
        <v>172</v>
      </c>
      <c r="C171" s="34">
        <v>26147140</v>
      </c>
      <c r="D171" s="34" t="s">
        <v>1473</v>
      </c>
      <c r="E171" s="34" t="s">
        <v>1487</v>
      </c>
      <c r="F171" s="34" t="s">
        <v>1485</v>
      </c>
      <c r="G171" s="56" t="s">
        <v>1290</v>
      </c>
      <c r="H171" s="34" t="s">
        <v>1291</v>
      </c>
      <c r="I171" s="34" t="s">
        <v>1292</v>
      </c>
      <c r="J171" s="34" t="s">
        <v>1293</v>
      </c>
      <c r="K171" s="44"/>
      <c r="L171" s="43"/>
    </row>
    <row r="172" spans="1:12" x14ac:dyDescent="0.25">
      <c r="A172" s="34">
        <v>171</v>
      </c>
      <c r="B172" s="35" t="s">
        <v>173</v>
      </c>
      <c r="C172" s="34">
        <v>26055100</v>
      </c>
      <c r="D172" s="34" t="s">
        <v>1473</v>
      </c>
      <c r="E172" s="34" t="s">
        <v>1477</v>
      </c>
      <c r="F172" s="34" t="s">
        <v>1476</v>
      </c>
      <c r="G172" s="56" t="s">
        <v>1290</v>
      </c>
      <c r="H172" s="34" t="s">
        <v>1300</v>
      </c>
      <c r="I172" s="34" t="s">
        <v>1292</v>
      </c>
      <c r="J172" s="34" t="s">
        <v>1295</v>
      </c>
      <c r="K172" s="44"/>
      <c r="L172" s="43"/>
    </row>
    <row r="173" spans="1:12" x14ac:dyDescent="0.25">
      <c r="A173" s="34">
        <v>172</v>
      </c>
      <c r="B173" s="35" t="s">
        <v>174</v>
      </c>
      <c r="C173" s="34">
        <v>5311500121</v>
      </c>
      <c r="D173" s="34" t="s">
        <v>1473</v>
      </c>
      <c r="E173" s="34" t="s">
        <v>1488</v>
      </c>
      <c r="F173" s="34" t="s">
        <v>1476</v>
      </c>
      <c r="G173" s="56" t="s">
        <v>1290</v>
      </c>
      <c r="H173" s="34" t="s">
        <v>1291</v>
      </c>
      <c r="I173" s="34" t="s">
        <v>1292</v>
      </c>
      <c r="J173" s="34" t="s">
        <v>1295</v>
      </c>
      <c r="K173" s="44"/>
      <c r="L173" s="43"/>
    </row>
    <row r="174" spans="1:12" x14ac:dyDescent="0.25">
      <c r="A174" s="34">
        <v>173</v>
      </c>
      <c r="B174" s="35" t="s">
        <v>175</v>
      </c>
      <c r="C174" s="34">
        <v>2612500130</v>
      </c>
      <c r="D174" s="34" t="s">
        <v>1473</v>
      </c>
      <c r="E174" s="34" t="s">
        <v>1489</v>
      </c>
      <c r="F174" s="34" t="s">
        <v>1481</v>
      </c>
      <c r="G174" s="56" t="s">
        <v>1290</v>
      </c>
      <c r="H174" s="34" t="s">
        <v>1291</v>
      </c>
      <c r="I174" s="34" t="s">
        <v>1292</v>
      </c>
      <c r="J174" s="34" t="s">
        <v>1295</v>
      </c>
      <c r="K174" s="44"/>
      <c r="L174" s="43"/>
    </row>
    <row r="175" spans="1:12" x14ac:dyDescent="0.25">
      <c r="A175" s="34">
        <v>174</v>
      </c>
      <c r="B175" s="35" t="s">
        <v>176</v>
      </c>
      <c r="C175" s="34">
        <v>2613500126</v>
      </c>
      <c r="D175" s="34" t="s">
        <v>1473</v>
      </c>
      <c r="E175" s="34" t="s">
        <v>1490</v>
      </c>
      <c r="F175" s="34" t="s">
        <v>1491</v>
      </c>
      <c r="G175" s="56" t="s">
        <v>1290</v>
      </c>
      <c r="H175" s="34" t="s">
        <v>1291</v>
      </c>
      <c r="I175" s="34" t="s">
        <v>1292</v>
      </c>
      <c r="J175" s="34" t="s">
        <v>1295</v>
      </c>
      <c r="K175" s="44"/>
      <c r="L175" s="43"/>
    </row>
    <row r="176" spans="1:12" x14ac:dyDescent="0.25">
      <c r="A176" s="34">
        <v>175</v>
      </c>
      <c r="B176" s="35" t="s">
        <v>177</v>
      </c>
      <c r="C176" s="34">
        <v>2612500124</v>
      </c>
      <c r="D176" s="34" t="s">
        <v>1473</v>
      </c>
      <c r="E176" s="34" t="s">
        <v>1492</v>
      </c>
      <c r="F176" s="34" t="s">
        <v>1481</v>
      </c>
      <c r="G176" s="56" t="s">
        <v>1290</v>
      </c>
      <c r="H176" s="34" t="s">
        <v>1291</v>
      </c>
      <c r="I176" s="34" t="s">
        <v>1292</v>
      </c>
      <c r="J176" s="34" t="s">
        <v>1295</v>
      </c>
      <c r="K176" s="44"/>
      <c r="L176" s="43"/>
    </row>
    <row r="177" spans="1:12" x14ac:dyDescent="0.25">
      <c r="A177" s="34">
        <v>176</v>
      </c>
      <c r="B177" s="35" t="s">
        <v>178</v>
      </c>
      <c r="C177" s="34">
        <v>2633700150</v>
      </c>
      <c r="D177" s="34" t="s">
        <v>1473</v>
      </c>
      <c r="E177" s="34" t="s">
        <v>1493</v>
      </c>
      <c r="F177" s="34" t="s">
        <v>1476</v>
      </c>
      <c r="G177" s="56" t="s">
        <v>1290</v>
      </c>
      <c r="H177" s="34" t="s">
        <v>1291</v>
      </c>
      <c r="I177" s="34" t="s">
        <v>1292</v>
      </c>
      <c r="J177" s="34" t="s">
        <v>1293</v>
      </c>
      <c r="K177" s="44"/>
      <c r="L177" s="43"/>
    </row>
    <row r="178" spans="1:12" x14ac:dyDescent="0.25">
      <c r="A178" s="38">
        <v>177</v>
      </c>
      <c r="B178" s="35" t="s">
        <v>179</v>
      </c>
      <c r="C178" s="34">
        <v>2633500119</v>
      </c>
      <c r="D178" s="34" t="s">
        <v>1473</v>
      </c>
      <c r="E178" s="34" t="s">
        <v>1494</v>
      </c>
      <c r="F178" s="34" t="s">
        <v>1476</v>
      </c>
      <c r="G178" s="56" t="s">
        <v>1290</v>
      </c>
      <c r="H178" s="34" t="s">
        <v>1291</v>
      </c>
      <c r="I178" s="34" t="s">
        <v>1292</v>
      </c>
      <c r="J178" s="34" t="s">
        <v>1293</v>
      </c>
      <c r="K178" s="44"/>
      <c r="L178" s="43"/>
    </row>
    <row r="179" spans="1:12" x14ac:dyDescent="0.25">
      <c r="A179" s="34">
        <v>178</v>
      </c>
      <c r="B179" s="34" t="s">
        <v>180</v>
      </c>
      <c r="C179" s="34">
        <v>54057020</v>
      </c>
      <c r="D179" s="34" t="s">
        <v>1473</v>
      </c>
      <c r="E179" s="34" t="s">
        <v>1495</v>
      </c>
      <c r="F179" s="34" t="s">
        <v>1476</v>
      </c>
      <c r="G179" s="34" t="s">
        <v>1344</v>
      </c>
      <c r="H179" s="34" t="s">
        <v>1345</v>
      </c>
      <c r="I179" s="34" t="s">
        <v>1292</v>
      </c>
      <c r="J179" s="34" t="s">
        <v>1293</v>
      </c>
      <c r="K179" s="44">
        <v>45568</v>
      </c>
      <c r="L179" s="43" t="s">
        <v>1468</v>
      </c>
    </row>
    <row r="180" spans="1:12" x14ac:dyDescent="0.25">
      <c r="A180" s="34">
        <v>179</v>
      </c>
      <c r="B180" s="35" t="s">
        <v>181</v>
      </c>
      <c r="C180" s="34">
        <v>26155170</v>
      </c>
      <c r="D180" s="34" t="s">
        <v>1473</v>
      </c>
      <c r="E180" s="34" t="s">
        <v>1484</v>
      </c>
      <c r="F180" s="34" t="s">
        <v>1485</v>
      </c>
      <c r="G180" s="56" t="s">
        <v>1290</v>
      </c>
      <c r="H180" s="34" t="s">
        <v>1291</v>
      </c>
      <c r="I180" s="34" t="s">
        <v>1292</v>
      </c>
      <c r="J180" s="34" t="s">
        <v>1334</v>
      </c>
      <c r="K180" s="44"/>
      <c r="L180" s="43"/>
    </row>
    <row r="181" spans="1:12" x14ac:dyDescent="0.25">
      <c r="A181" s="34">
        <v>180</v>
      </c>
      <c r="B181" s="35" t="s">
        <v>182</v>
      </c>
      <c r="C181" s="34">
        <v>26085170</v>
      </c>
      <c r="D181" s="34" t="s">
        <v>1473</v>
      </c>
      <c r="E181" s="34" t="s">
        <v>1475</v>
      </c>
      <c r="F181" s="34" t="s">
        <v>1476</v>
      </c>
      <c r="G181" s="56" t="s">
        <v>1290</v>
      </c>
      <c r="H181" s="34" t="s">
        <v>1291</v>
      </c>
      <c r="I181" s="34" t="s">
        <v>1292</v>
      </c>
      <c r="J181" s="34" t="s">
        <v>1295</v>
      </c>
      <c r="K181" s="44"/>
      <c r="L181" s="43"/>
    </row>
    <row r="182" spans="1:12" x14ac:dyDescent="0.25">
      <c r="A182" s="34">
        <v>181</v>
      </c>
      <c r="B182" s="35" t="s">
        <v>183</v>
      </c>
      <c r="C182" s="34">
        <v>26115090</v>
      </c>
      <c r="D182" s="34" t="s">
        <v>1473</v>
      </c>
      <c r="E182" s="34" t="s">
        <v>1496</v>
      </c>
      <c r="F182" s="34" t="s">
        <v>1476</v>
      </c>
      <c r="G182" s="34" t="s">
        <v>1297</v>
      </c>
      <c r="H182" s="34" t="s">
        <v>1291</v>
      </c>
      <c r="I182" s="34" t="s">
        <v>1292</v>
      </c>
      <c r="J182" s="34" t="s">
        <v>1295</v>
      </c>
      <c r="K182" s="44">
        <v>46149</v>
      </c>
      <c r="L182" s="43"/>
    </row>
    <row r="183" spans="1:12" x14ac:dyDescent="0.25">
      <c r="A183" s="34">
        <v>182</v>
      </c>
      <c r="B183" s="35" t="s">
        <v>184</v>
      </c>
      <c r="C183" s="34">
        <v>2612500038</v>
      </c>
      <c r="D183" s="34" t="s">
        <v>1473</v>
      </c>
      <c r="E183" s="34" t="s">
        <v>1497</v>
      </c>
      <c r="F183" s="34" t="s">
        <v>1481</v>
      </c>
      <c r="G183" s="56" t="s">
        <v>1290</v>
      </c>
      <c r="H183" s="34" t="s">
        <v>1291</v>
      </c>
      <c r="I183" s="34" t="s">
        <v>1292</v>
      </c>
      <c r="J183" s="34" t="s">
        <v>1295</v>
      </c>
      <c r="K183" s="44"/>
      <c r="L183" s="43"/>
    </row>
    <row r="184" spans="1:12" x14ac:dyDescent="0.25">
      <c r="A184" s="34">
        <v>183</v>
      </c>
      <c r="B184" s="35" t="s">
        <v>185</v>
      </c>
      <c r="C184" s="34">
        <v>11035030</v>
      </c>
      <c r="D184" s="34" t="s">
        <v>1473</v>
      </c>
      <c r="E184" s="34" t="s">
        <v>1498</v>
      </c>
      <c r="F184" s="34" t="s">
        <v>1303</v>
      </c>
      <c r="G184" s="56" t="s">
        <v>1290</v>
      </c>
      <c r="H184" s="34" t="s">
        <v>1291</v>
      </c>
      <c r="I184" s="34" t="s">
        <v>1292</v>
      </c>
      <c r="J184" s="34" t="s">
        <v>1334</v>
      </c>
      <c r="K184" s="44"/>
      <c r="L184" s="43"/>
    </row>
    <row r="185" spans="1:12" x14ac:dyDescent="0.25">
      <c r="A185" s="38">
        <v>184</v>
      </c>
      <c r="B185" s="35" t="s">
        <v>186</v>
      </c>
      <c r="C185" s="34">
        <v>2629700151</v>
      </c>
      <c r="D185" s="34" t="s">
        <v>1473</v>
      </c>
      <c r="E185" s="34" t="s">
        <v>1477</v>
      </c>
      <c r="F185" s="34" t="s">
        <v>1476</v>
      </c>
      <c r="G185" s="56" t="s">
        <v>1290</v>
      </c>
      <c r="H185" s="34" t="s">
        <v>1291</v>
      </c>
      <c r="I185" s="34" t="s">
        <v>1292</v>
      </c>
      <c r="J185" s="34" t="s">
        <v>1293</v>
      </c>
      <c r="K185" s="44"/>
      <c r="L185" s="43"/>
    </row>
    <row r="186" spans="1:12" x14ac:dyDescent="0.25">
      <c r="A186" s="34">
        <v>185</v>
      </c>
      <c r="B186" s="35" t="s">
        <v>187</v>
      </c>
      <c r="C186" s="34">
        <v>2636700098</v>
      </c>
      <c r="D186" s="34" t="s">
        <v>1473</v>
      </c>
      <c r="E186" s="34" t="s">
        <v>1499</v>
      </c>
      <c r="F186" s="34" t="s">
        <v>1476</v>
      </c>
      <c r="G186" s="56" t="s">
        <v>1290</v>
      </c>
      <c r="H186" s="34" t="s">
        <v>1291</v>
      </c>
      <c r="I186" s="34" t="s">
        <v>1292</v>
      </c>
      <c r="J186" s="34" t="s">
        <v>1293</v>
      </c>
      <c r="K186" s="44"/>
      <c r="L186" s="43"/>
    </row>
    <row r="187" spans="1:12" x14ac:dyDescent="0.25">
      <c r="A187" s="34">
        <v>186</v>
      </c>
      <c r="B187" s="35" t="s">
        <v>188</v>
      </c>
      <c r="C187" s="34">
        <v>54020020</v>
      </c>
      <c r="D187" s="34" t="s">
        <v>1473</v>
      </c>
      <c r="E187" s="34" t="s">
        <v>1500</v>
      </c>
      <c r="F187" s="34" t="s">
        <v>1303</v>
      </c>
      <c r="G187" s="56" t="s">
        <v>1290</v>
      </c>
      <c r="H187" s="34" t="s">
        <v>1291</v>
      </c>
      <c r="I187" s="34" t="s">
        <v>1292</v>
      </c>
      <c r="J187" s="34" t="s">
        <v>1334</v>
      </c>
      <c r="K187" s="44">
        <v>45909</v>
      </c>
      <c r="L187" s="43"/>
    </row>
    <row r="188" spans="1:12" x14ac:dyDescent="0.25">
      <c r="A188" s="34">
        <v>187</v>
      </c>
      <c r="B188" s="35" t="s">
        <v>189</v>
      </c>
      <c r="C188" s="34">
        <v>2604500039</v>
      </c>
      <c r="D188" s="34" t="s">
        <v>1473</v>
      </c>
      <c r="E188" s="34" t="s">
        <v>1501</v>
      </c>
      <c r="F188" s="34" t="s">
        <v>1430</v>
      </c>
      <c r="G188" s="34" t="s">
        <v>1297</v>
      </c>
      <c r="H188" s="34" t="s">
        <v>1291</v>
      </c>
      <c r="I188" s="34" t="s">
        <v>1292</v>
      </c>
      <c r="J188" s="34" t="s">
        <v>1295</v>
      </c>
      <c r="K188" s="44" t="s">
        <v>1483</v>
      </c>
      <c r="L188" s="43"/>
    </row>
    <row r="189" spans="1:12" x14ac:dyDescent="0.25">
      <c r="A189" s="34">
        <v>188</v>
      </c>
      <c r="B189" s="35" t="s">
        <v>190</v>
      </c>
      <c r="C189" s="34">
        <v>21185090</v>
      </c>
      <c r="D189" s="34" t="s">
        <v>1502</v>
      </c>
      <c r="E189" s="34" t="s">
        <v>1503</v>
      </c>
      <c r="F189" s="34" t="s">
        <v>1504</v>
      </c>
      <c r="G189" s="36" t="s">
        <v>1290</v>
      </c>
      <c r="H189" s="34" t="s">
        <v>1291</v>
      </c>
      <c r="I189" s="34" t="s">
        <v>1292</v>
      </c>
      <c r="J189" s="34" t="s">
        <v>1315</v>
      </c>
      <c r="K189" s="44"/>
      <c r="L189" s="34"/>
    </row>
    <row r="190" spans="1:12" x14ac:dyDescent="0.25">
      <c r="A190" s="34">
        <v>189</v>
      </c>
      <c r="B190" s="35" t="s">
        <v>191</v>
      </c>
      <c r="C190" s="34">
        <v>21215190</v>
      </c>
      <c r="D190" s="34" t="s">
        <v>1502</v>
      </c>
      <c r="E190" s="34" t="s">
        <v>1505</v>
      </c>
      <c r="F190" s="34" t="s">
        <v>1504</v>
      </c>
      <c r="G190" s="34" t="s">
        <v>1297</v>
      </c>
      <c r="H190" s="34" t="s">
        <v>1291</v>
      </c>
      <c r="I190" s="34" t="s">
        <v>1292</v>
      </c>
      <c r="J190" s="34" t="s">
        <v>1295</v>
      </c>
      <c r="K190" s="44">
        <v>46273</v>
      </c>
      <c r="L190" s="34"/>
    </row>
    <row r="191" spans="1:12" x14ac:dyDescent="0.25">
      <c r="A191" s="34">
        <v>190</v>
      </c>
      <c r="B191" s="35" t="s">
        <v>192</v>
      </c>
      <c r="C191" s="34">
        <v>21237010</v>
      </c>
      <c r="D191" s="34" t="s">
        <v>1502</v>
      </c>
      <c r="E191" s="34" t="s">
        <v>1506</v>
      </c>
      <c r="F191" s="34" t="s">
        <v>1507</v>
      </c>
      <c r="G191" s="36" t="s">
        <v>1290</v>
      </c>
      <c r="H191" s="34" t="s">
        <v>1291</v>
      </c>
      <c r="I191" s="34" t="s">
        <v>1292</v>
      </c>
      <c r="J191" s="34" t="s">
        <v>1293</v>
      </c>
      <c r="K191" s="44"/>
      <c r="L191" s="34"/>
    </row>
    <row r="192" spans="1:12" x14ac:dyDescent="0.25">
      <c r="A192" s="38">
        <v>191</v>
      </c>
      <c r="B192" s="35" t="s">
        <v>193</v>
      </c>
      <c r="C192" s="34">
        <v>21215180</v>
      </c>
      <c r="D192" s="34" t="s">
        <v>1502</v>
      </c>
      <c r="E192" s="34" t="s">
        <v>1508</v>
      </c>
      <c r="F192" s="34" t="s">
        <v>1504</v>
      </c>
      <c r="G192" s="36" t="s">
        <v>1290</v>
      </c>
      <c r="H192" s="34" t="s">
        <v>1291</v>
      </c>
      <c r="I192" s="34" t="s">
        <v>1292</v>
      </c>
      <c r="J192" s="34" t="s">
        <v>1295</v>
      </c>
      <c r="K192" s="44"/>
      <c r="L192" s="34"/>
    </row>
    <row r="193" spans="1:12" x14ac:dyDescent="0.25">
      <c r="A193" s="34">
        <v>192</v>
      </c>
      <c r="B193" s="35" t="s">
        <v>194</v>
      </c>
      <c r="C193" s="34">
        <v>21215160</v>
      </c>
      <c r="D193" s="34" t="s">
        <v>1502</v>
      </c>
      <c r="E193" s="34" t="s">
        <v>1508</v>
      </c>
      <c r="F193" s="34" t="s">
        <v>1504</v>
      </c>
      <c r="G193" s="34" t="s">
        <v>1297</v>
      </c>
      <c r="H193" s="34" t="s">
        <v>1291</v>
      </c>
      <c r="I193" s="34" t="s">
        <v>1292</v>
      </c>
      <c r="J193" s="34" t="s">
        <v>1295</v>
      </c>
      <c r="K193" s="44" t="s">
        <v>1298</v>
      </c>
      <c r="L193" s="34"/>
    </row>
    <row r="194" spans="1:12" x14ac:dyDescent="0.25">
      <c r="A194" s="34">
        <v>193</v>
      </c>
      <c r="B194" s="35" t="s">
        <v>195</v>
      </c>
      <c r="C194" s="34">
        <v>21255170</v>
      </c>
      <c r="D194" s="34" t="s">
        <v>1502</v>
      </c>
      <c r="E194" s="34" t="s">
        <v>1509</v>
      </c>
      <c r="F194" s="34" t="s">
        <v>1504</v>
      </c>
      <c r="G194" s="36" t="s">
        <v>1290</v>
      </c>
      <c r="H194" s="34" t="s">
        <v>1291</v>
      </c>
      <c r="I194" s="34" t="s">
        <v>1292</v>
      </c>
      <c r="J194" s="34" t="s">
        <v>1295</v>
      </c>
      <c r="K194" s="44"/>
      <c r="L194" s="34"/>
    </row>
    <row r="195" spans="1:12" x14ac:dyDescent="0.25">
      <c r="A195" s="34">
        <v>194</v>
      </c>
      <c r="B195" s="35" t="s">
        <v>196</v>
      </c>
      <c r="C195" s="34">
        <v>23035030</v>
      </c>
      <c r="D195" s="34" t="s">
        <v>1502</v>
      </c>
      <c r="E195" s="34" t="s">
        <v>1510</v>
      </c>
      <c r="F195" s="34" t="s">
        <v>1507</v>
      </c>
      <c r="G195" s="36" t="s">
        <v>1290</v>
      </c>
      <c r="H195" s="34" t="s">
        <v>1300</v>
      </c>
      <c r="I195" s="34" t="s">
        <v>1292</v>
      </c>
      <c r="J195" s="34" t="s">
        <v>1295</v>
      </c>
      <c r="K195" s="44"/>
      <c r="L195" s="34"/>
    </row>
    <row r="196" spans="1:12" x14ac:dyDescent="0.25">
      <c r="A196" s="34">
        <v>195</v>
      </c>
      <c r="B196" s="35" t="s">
        <v>197</v>
      </c>
      <c r="C196" s="34">
        <v>23037010</v>
      </c>
      <c r="D196" s="34" t="s">
        <v>1502</v>
      </c>
      <c r="E196" s="34" t="s">
        <v>1510</v>
      </c>
      <c r="F196" s="34" t="s">
        <v>1507</v>
      </c>
      <c r="G196" s="34" t="s">
        <v>1297</v>
      </c>
      <c r="H196" s="34" t="s">
        <v>1291</v>
      </c>
      <c r="I196" s="34" t="s">
        <v>1292</v>
      </c>
      <c r="J196" s="34" t="s">
        <v>1293</v>
      </c>
      <c r="K196" s="44" t="s">
        <v>1511</v>
      </c>
      <c r="L196" s="34"/>
    </row>
    <row r="197" spans="1:12" x14ac:dyDescent="0.25">
      <c r="A197" s="34">
        <v>196</v>
      </c>
      <c r="B197" s="34" t="s">
        <v>198</v>
      </c>
      <c r="C197" s="34">
        <v>21160260</v>
      </c>
      <c r="D197" s="34" t="s">
        <v>1502</v>
      </c>
      <c r="E197" s="34" t="s">
        <v>1512</v>
      </c>
      <c r="F197" s="34" t="s">
        <v>1504</v>
      </c>
      <c r="G197" s="34" t="s">
        <v>1297</v>
      </c>
      <c r="H197" s="34" t="s">
        <v>1391</v>
      </c>
      <c r="I197" s="34" t="s">
        <v>1292</v>
      </c>
      <c r="J197" s="34" t="s">
        <v>1320</v>
      </c>
      <c r="K197" s="44">
        <v>46085</v>
      </c>
      <c r="L197" s="46" t="s">
        <v>1392</v>
      </c>
    </row>
    <row r="198" spans="1:12" x14ac:dyDescent="0.25">
      <c r="A198" s="34">
        <v>197</v>
      </c>
      <c r="B198" s="35" t="s">
        <v>199</v>
      </c>
      <c r="C198" s="34">
        <v>2302500064</v>
      </c>
      <c r="D198" s="34" t="s">
        <v>1502</v>
      </c>
      <c r="E198" s="34" t="s">
        <v>1513</v>
      </c>
      <c r="F198" s="34" t="s">
        <v>1485</v>
      </c>
      <c r="G198" s="36" t="s">
        <v>1290</v>
      </c>
      <c r="H198" s="34" t="s">
        <v>1291</v>
      </c>
      <c r="I198" s="34" t="s">
        <v>1292</v>
      </c>
      <c r="J198" s="34" t="s">
        <v>1295</v>
      </c>
      <c r="K198" s="44"/>
      <c r="L198" s="34"/>
    </row>
    <row r="199" spans="1:12" x14ac:dyDescent="0.25">
      <c r="A199" s="38">
        <v>198</v>
      </c>
      <c r="B199" s="35" t="s">
        <v>200</v>
      </c>
      <c r="C199" s="34">
        <v>2301700089</v>
      </c>
      <c r="D199" s="34" t="s">
        <v>1502</v>
      </c>
      <c r="E199" s="34" t="s">
        <v>1514</v>
      </c>
      <c r="F199" s="34" t="s">
        <v>1504</v>
      </c>
      <c r="G199" s="36" t="s">
        <v>1290</v>
      </c>
      <c r="H199" s="34" t="s">
        <v>1291</v>
      </c>
      <c r="I199" s="34" t="s">
        <v>1292</v>
      </c>
      <c r="J199" s="34" t="s">
        <v>1293</v>
      </c>
      <c r="K199" s="44"/>
      <c r="L199" s="34"/>
    </row>
    <row r="200" spans="1:12" x14ac:dyDescent="0.25">
      <c r="A200" s="34">
        <v>199</v>
      </c>
      <c r="B200" s="35" t="s">
        <v>201</v>
      </c>
      <c r="C200" s="34">
        <v>2305500055</v>
      </c>
      <c r="D200" s="34" t="s">
        <v>1502</v>
      </c>
      <c r="E200" s="34" t="s">
        <v>1515</v>
      </c>
      <c r="F200" s="34" t="s">
        <v>1485</v>
      </c>
      <c r="G200" s="36" t="s">
        <v>1290</v>
      </c>
      <c r="H200" s="34" t="s">
        <v>1291</v>
      </c>
      <c r="I200" s="34" t="s">
        <v>1292</v>
      </c>
      <c r="J200" s="34" t="s">
        <v>1295</v>
      </c>
      <c r="K200" s="44"/>
      <c r="L200" s="34"/>
    </row>
    <row r="201" spans="1:12" x14ac:dyDescent="0.25">
      <c r="A201" s="34">
        <v>200</v>
      </c>
      <c r="B201" s="35" t="s">
        <v>202</v>
      </c>
      <c r="C201" s="34">
        <v>21257100</v>
      </c>
      <c r="D201" s="34" t="s">
        <v>1502</v>
      </c>
      <c r="E201" s="34" t="s">
        <v>1516</v>
      </c>
      <c r="F201" s="34" t="s">
        <v>1504</v>
      </c>
      <c r="G201" s="36" t="s">
        <v>1290</v>
      </c>
      <c r="H201" s="34" t="s">
        <v>1291</v>
      </c>
      <c r="I201" s="34" t="s">
        <v>1292</v>
      </c>
      <c r="J201" s="34" t="s">
        <v>1293</v>
      </c>
      <c r="K201" s="44"/>
      <c r="L201" s="34"/>
    </row>
    <row r="202" spans="1:12" x14ac:dyDescent="0.25">
      <c r="A202" s="34">
        <v>201</v>
      </c>
      <c r="B202" s="35" t="s">
        <v>203</v>
      </c>
      <c r="C202" s="34">
        <v>22045010</v>
      </c>
      <c r="D202" s="34" t="s">
        <v>1502</v>
      </c>
      <c r="E202" s="34" t="s">
        <v>1517</v>
      </c>
      <c r="F202" s="34" t="s">
        <v>1504</v>
      </c>
      <c r="G202" s="34" t="s">
        <v>1297</v>
      </c>
      <c r="H202" s="34" t="s">
        <v>1291</v>
      </c>
      <c r="I202" s="34" t="s">
        <v>1292</v>
      </c>
      <c r="J202" s="34" t="s">
        <v>1334</v>
      </c>
      <c r="K202" s="44" t="s">
        <v>1518</v>
      </c>
      <c r="L202" s="34"/>
    </row>
    <row r="203" spans="1:12" x14ac:dyDescent="0.25">
      <c r="A203" s="34">
        <v>202</v>
      </c>
      <c r="B203" s="35" t="s">
        <v>204</v>
      </c>
      <c r="C203" s="34">
        <v>23067040</v>
      </c>
      <c r="D203" s="34" t="s">
        <v>1502</v>
      </c>
      <c r="E203" s="34" t="s">
        <v>1510</v>
      </c>
      <c r="F203" s="34" t="s">
        <v>1507</v>
      </c>
      <c r="G203" s="36" t="s">
        <v>1290</v>
      </c>
      <c r="H203" s="34" t="s">
        <v>1291</v>
      </c>
      <c r="I203" s="34" t="s">
        <v>1292</v>
      </c>
      <c r="J203" s="34" t="s">
        <v>1293</v>
      </c>
      <c r="K203" s="44"/>
      <c r="L203" s="34"/>
    </row>
    <row r="204" spans="1:12" x14ac:dyDescent="0.25">
      <c r="A204" s="34">
        <v>203</v>
      </c>
      <c r="B204" s="35" t="s">
        <v>205</v>
      </c>
      <c r="C204" s="34">
        <v>21195170</v>
      </c>
      <c r="D204" s="34" t="s">
        <v>1519</v>
      </c>
      <c r="E204" s="34" t="s">
        <v>1520</v>
      </c>
      <c r="F204" s="34" t="s">
        <v>1507</v>
      </c>
      <c r="G204" s="36" t="s">
        <v>1290</v>
      </c>
      <c r="H204" s="34" t="s">
        <v>1291</v>
      </c>
      <c r="I204" s="34" t="s">
        <v>1292</v>
      </c>
      <c r="J204" s="34" t="s">
        <v>1295</v>
      </c>
      <c r="K204" s="44"/>
      <c r="L204" s="34"/>
    </row>
    <row r="205" spans="1:12" x14ac:dyDescent="0.25">
      <c r="A205" s="34">
        <v>204</v>
      </c>
      <c r="B205" s="35" t="s">
        <v>206</v>
      </c>
      <c r="C205" s="34">
        <v>23125170</v>
      </c>
      <c r="D205" s="34" t="s">
        <v>1519</v>
      </c>
      <c r="E205" s="34" t="s">
        <v>1521</v>
      </c>
      <c r="F205" s="34" t="s">
        <v>1507</v>
      </c>
      <c r="G205" s="36" t="s">
        <v>1290</v>
      </c>
      <c r="H205" s="34" t="s">
        <v>1291</v>
      </c>
      <c r="I205" s="34" t="s">
        <v>1292</v>
      </c>
      <c r="J205" s="34" t="s">
        <v>1295</v>
      </c>
      <c r="K205" s="44"/>
      <c r="L205" s="34"/>
    </row>
    <row r="206" spans="1:12" x14ac:dyDescent="0.25">
      <c r="A206" s="38">
        <v>205</v>
      </c>
      <c r="B206" s="35" t="s">
        <v>207</v>
      </c>
      <c r="C206" s="34">
        <v>35025080</v>
      </c>
      <c r="D206" s="34" t="s">
        <v>1519</v>
      </c>
      <c r="E206" s="34" t="s">
        <v>1522</v>
      </c>
      <c r="F206" s="34" t="s">
        <v>1507</v>
      </c>
      <c r="G206" s="36" t="s">
        <v>1290</v>
      </c>
      <c r="H206" s="34" t="s">
        <v>1300</v>
      </c>
      <c r="I206" s="34" t="s">
        <v>1292</v>
      </c>
      <c r="J206" s="34" t="s">
        <v>1295</v>
      </c>
      <c r="K206" s="44"/>
      <c r="L206" s="34"/>
    </row>
    <row r="207" spans="1:12" x14ac:dyDescent="0.25">
      <c r="A207" s="34">
        <v>206</v>
      </c>
      <c r="B207" s="35" t="s">
        <v>208</v>
      </c>
      <c r="C207" s="34">
        <v>23065180</v>
      </c>
      <c r="D207" s="34" t="s">
        <v>1519</v>
      </c>
      <c r="E207" s="34" t="s">
        <v>1523</v>
      </c>
      <c r="F207" s="34" t="s">
        <v>1507</v>
      </c>
      <c r="G207" s="36" t="s">
        <v>1290</v>
      </c>
      <c r="H207" s="34" t="s">
        <v>1291</v>
      </c>
      <c r="I207" s="34" t="s">
        <v>1292</v>
      </c>
      <c r="J207" s="34" t="s">
        <v>1295</v>
      </c>
      <c r="K207" s="44"/>
      <c r="L207" s="34"/>
    </row>
    <row r="208" spans="1:12" x14ac:dyDescent="0.25">
      <c r="A208" s="34">
        <v>207</v>
      </c>
      <c r="B208" s="35" t="s">
        <v>209</v>
      </c>
      <c r="C208" s="34">
        <v>23065190</v>
      </c>
      <c r="D208" s="34" t="s">
        <v>1519</v>
      </c>
      <c r="E208" s="34" t="s">
        <v>1524</v>
      </c>
      <c r="F208" s="34" t="s">
        <v>1507</v>
      </c>
      <c r="G208" s="36" t="s">
        <v>1290</v>
      </c>
      <c r="H208" s="34" t="s">
        <v>1291</v>
      </c>
      <c r="I208" s="34" t="s">
        <v>1292</v>
      </c>
      <c r="J208" s="34" t="s">
        <v>1295</v>
      </c>
      <c r="K208" s="44"/>
      <c r="L208" s="43"/>
    </row>
    <row r="209" spans="1:12" x14ac:dyDescent="0.25">
      <c r="A209" s="34">
        <v>208</v>
      </c>
      <c r="B209" s="35" t="s">
        <v>210</v>
      </c>
      <c r="C209" s="34">
        <v>21206280</v>
      </c>
      <c r="D209" s="34" t="s">
        <v>1519</v>
      </c>
      <c r="E209" s="34" t="s">
        <v>1525</v>
      </c>
      <c r="F209" s="34" t="s">
        <v>1507</v>
      </c>
      <c r="G209" s="36" t="s">
        <v>1290</v>
      </c>
      <c r="H209" s="34" t="s">
        <v>1291</v>
      </c>
      <c r="I209" s="34" t="s">
        <v>1292</v>
      </c>
      <c r="J209" s="34" t="s">
        <v>1295</v>
      </c>
      <c r="K209" s="44"/>
      <c r="L209" s="34"/>
    </row>
    <row r="210" spans="1:12" x14ac:dyDescent="0.25">
      <c r="A210" s="34">
        <v>209</v>
      </c>
      <c r="B210" s="35" t="s">
        <v>211</v>
      </c>
      <c r="C210" s="34">
        <v>21197010</v>
      </c>
      <c r="D210" s="34" t="s">
        <v>1519</v>
      </c>
      <c r="E210" s="34" t="s">
        <v>1520</v>
      </c>
      <c r="F210" s="34" t="s">
        <v>1507</v>
      </c>
      <c r="G210" s="34" t="s">
        <v>1297</v>
      </c>
      <c r="H210" s="34" t="s">
        <v>1291</v>
      </c>
      <c r="I210" s="34" t="s">
        <v>1292</v>
      </c>
      <c r="J210" s="34" t="s">
        <v>1293</v>
      </c>
      <c r="K210" s="44">
        <v>46269</v>
      </c>
      <c r="L210" s="34"/>
    </row>
    <row r="211" spans="1:12" x14ac:dyDescent="0.25">
      <c r="A211" s="34">
        <v>210</v>
      </c>
      <c r="B211" s="35" t="s">
        <v>212</v>
      </c>
      <c r="C211" s="34">
        <v>2120700146</v>
      </c>
      <c r="D211" s="34" t="s">
        <v>1519</v>
      </c>
      <c r="E211" s="34" t="s">
        <v>1526</v>
      </c>
      <c r="F211" s="34" t="s">
        <v>1507</v>
      </c>
      <c r="G211" s="36" t="s">
        <v>1290</v>
      </c>
      <c r="H211" s="34" t="s">
        <v>1291</v>
      </c>
      <c r="I211" s="34" t="s">
        <v>1292</v>
      </c>
      <c r="J211" s="34" t="s">
        <v>1293</v>
      </c>
      <c r="K211" s="44"/>
      <c r="L211" s="34"/>
    </row>
    <row r="212" spans="1:12" x14ac:dyDescent="0.25">
      <c r="A212" s="34">
        <v>211</v>
      </c>
      <c r="B212" s="35" t="s">
        <v>213</v>
      </c>
      <c r="C212" s="34">
        <v>35027100</v>
      </c>
      <c r="D212" s="34" t="s">
        <v>1519</v>
      </c>
      <c r="E212" s="34" t="s">
        <v>1527</v>
      </c>
      <c r="F212" s="34" t="s">
        <v>1507</v>
      </c>
      <c r="G212" s="36" t="s">
        <v>1290</v>
      </c>
      <c r="H212" s="34" t="s">
        <v>1291</v>
      </c>
      <c r="I212" s="34" t="s">
        <v>1292</v>
      </c>
      <c r="J212" s="34" t="s">
        <v>1293</v>
      </c>
      <c r="K212" s="44"/>
      <c r="L212" s="34"/>
    </row>
    <row r="213" spans="1:12" x14ac:dyDescent="0.25">
      <c r="A213" s="38">
        <v>212</v>
      </c>
      <c r="B213" s="35" t="s">
        <v>214</v>
      </c>
      <c r="C213" s="34">
        <v>21205660</v>
      </c>
      <c r="D213" s="34" t="s">
        <v>1519</v>
      </c>
      <c r="E213" s="34" t="s">
        <v>1528</v>
      </c>
      <c r="F213" s="34" t="s">
        <v>1507</v>
      </c>
      <c r="G213" s="36" t="s">
        <v>1290</v>
      </c>
      <c r="H213" s="34" t="s">
        <v>1291</v>
      </c>
      <c r="I213" s="34" t="s">
        <v>1292</v>
      </c>
      <c r="J213" s="34" t="s">
        <v>1295</v>
      </c>
      <c r="K213" s="44"/>
      <c r="L213" s="37"/>
    </row>
    <row r="214" spans="1:12" x14ac:dyDescent="0.25">
      <c r="A214" s="34">
        <v>213</v>
      </c>
      <c r="B214" s="35" t="s">
        <v>215</v>
      </c>
      <c r="C214" s="34">
        <v>21206600</v>
      </c>
      <c r="D214" s="34" t="s">
        <v>1519</v>
      </c>
      <c r="E214" s="34" t="s">
        <v>1529</v>
      </c>
      <c r="F214" s="34" t="s">
        <v>1530</v>
      </c>
      <c r="G214" s="36" t="s">
        <v>1290</v>
      </c>
      <c r="H214" s="34" t="s">
        <v>1291</v>
      </c>
      <c r="I214" s="34" t="s">
        <v>1292</v>
      </c>
      <c r="J214" s="34" t="s">
        <v>1295</v>
      </c>
      <c r="K214" s="44"/>
      <c r="L214" s="37"/>
    </row>
    <row r="215" spans="1:12" x14ac:dyDescent="0.25">
      <c r="A215" s="34">
        <v>214</v>
      </c>
      <c r="B215" s="35" t="s">
        <v>216</v>
      </c>
      <c r="C215" s="34">
        <v>21205910</v>
      </c>
      <c r="D215" s="34" t="s">
        <v>1519</v>
      </c>
      <c r="E215" s="34" t="s">
        <v>1531</v>
      </c>
      <c r="F215" s="34" t="s">
        <v>1507</v>
      </c>
      <c r="G215" s="36" t="s">
        <v>1290</v>
      </c>
      <c r="H215" s="34" t="s">
        <v>1291</v>
      </c>
      <c r="I215" s="34" t="s">
        <v>1292</v>
      </c>
      <c r="J215" s="34" t="s">
        <v>1295</v>
      </c>
      <c r="K215" s="44"/>
      <c r="L215" s="37"/>
    </row>
    <row r="216" spans="1:12" x14ac:dyDescent="0.25">
      <c r="A216" s="34">
        <v>215</v>
      </c>
      <c r="B216" s="35" t="s">
        <v>217</v>
      </c>
      <c r="C216" s="34">
        <v>21205970</v>
      </c>
      <c r="D216" s="34" t="s">
        <v>1519</v>
      </c>
      <c r="E216" s="34" t="s">
        <v>1532</v>
      </c>
      <c r="F216" s="34" t="s">
        <v>1507</v>
      </c>
      <c r="G216" s="36" t="s">
        <v>1290</v>
      </c>
      <c r="H216" s="34" t="s">
        <v>1291</v>
      </c>
      <c r="I216" s="34" t="s">
        <v>1292</v>
      </c>
      <c r="J216" s="34" t="s">
        <v>1295</v>
      </c>
      <c r="K216" s="44"/>
      <c r="L216" s="37"/>
    </row>
    <row r="217" spans="1:12" x14ac:dyDescent="0.25">
      <c r="A217" s="34">
        <v>216</v>
      </c>
      <c r="B217" s="35" t="s">
        <v>218</v>
      </c>
      <c r="C217" s="34">
        <v>23067070</v>
      </c>
      <c r="D217" s="34" t="s">
        <v>1519</v>
      </c>
      <c r="E217" s="34" t="s">
        <v>1523</v>
      </c>
      <c r="F217" s="34" t="s">
        <v>1507</v>
      </c>
      <c r="G217" s="36" t="s">
        <v>1290</v>
      </c>
      <c r="H217" s="34" t="s">
        <v>1291</v>
      </c>
      <c r="I217" s="34" t="s">
        <v>1292</v>
      </c>
      <c r="J217" s="34" t="s">
        <v>1293</v>
      </c>
      <c r="K217" s="44"/>
      <c r="L217" s="37"/>
    </row>
    <row r="218" spans="1:12" x14ac:dyDescent="0.25">
      <c r="A218" s="34">
        <v>217</v>
      </c>
      <c r="B218" s="35" t="s">
        <v>219</v>
      </c>
      <c r="C218" s="34">
        <v>24015380</v>
      </c>
      <c r="D218" s="34" t="s">
        <v>1519</v>
      </c>
      <c r="E218" s="34" t="s">
        <v>1533</v>
      </c>
      <c r="F218" s="34" t="s">
        <v>1507</v>
      </c>
      <c r="G218" s="36" t="s">
        <v>1290</v>
      </c>
      <c r="H218" s="34" t="s">
        <v>1291</v>
      </c>
      <c r="I218" s="34" t="s">
        <v>1292</v>
      </c>
      <c r="J218" s="34" t="s">
        <v>1295</v>
      </c>
      <c r="K218" s="44"/>
      <c r="L218" s="37"/>
    </row>
    <row r="219" spans="1:12" x14ac:dyDescent="0.25">
      <c r="A219" s="34">
        <v>218</v>
      </c>
      <c r="B219" s="35" t="s">
        <v>220</v>
      </c>
      <c r="C219" s="34">
        <v>2120500135</v>
      </c>
      <c r="D219" s="34" t="s">
        <v>1519</v>
      </c>
      <c r="E219" s="34" t="s">
        <v>1526</v>
      </c>
      <c r="F219" s="34" t="s">
        <v>1507</v>
      </c>
      <c r="G219" s="36" t="s">
        <v>1290</v>
      </c>
      <c r="H219" s="34" t="s">
        <v>1291</v>
      </c>
      <c r="I219" s="34" t="s">
        <v>1292</v>
      </c>
      <c r="J219" s="34" t="s">
        <v>1295</v>
      </c>
      <c r="K219" s="44"/>
      <c r="L219" s="37"/>
    </row>
    <row r="220" spans="1:12" x14ac:dyDescent="0.25">
      <c r="A220" s="38">
        <v>219</v>
      </c>
      <c r="B220" s="35" t="s">
        <v>221</v>
      </c>
      <c r="C220" s="34">
        <v>21195120</v>
      </c>
      <c r="D220" s="34" t="s">
        <v>1519</v>
      </c>
      <c r="E220" s="34" t="s">
        <v>1534</v>
      </c>
      <c r="F220" s="34" t="s">
        <v>1507</v>
      </c>
      <c r="G220" s="36" t="s">
        <v>1290</v>
      </c>
      <c r="H220" s="34" t="s">
        <v>1291</v>
      </c>
      <c r="I220" s="34" t="s">
        <v>1292</v>
      </c>
      <c r="J220" s="34" t="s">
        <v>1295</v>
      </c>
      <c r="K220" s="44"/>
      <c r="L220" s="37"/>
    </row>
    <row r="221" spans="1:12" x14ac:dyDescent="0.25">
      <c r="A221" s="34">
        <v>220</v>
      </c>
      <c r="B221" s="35" t="s">
        <v>222</v>
      </c>
      <c r="C221" s="34">
        <v>21205940</v>
      </c>
      <c r="D221" s="34" t="s">
        <v>1519</v>
      </c>
      <c r="E221" s="34" t="s">
        <v>1535</v>
      </c>
      <c r="F221" s="34" t="s">
        <v>1507</v>
      </c>
      <c r="G221" s="36" t="s">
        <v>1290</v>
      </c>
      <c r="H221" s="34" t="s">
        <v>1291</v>
      </c>
      <c r="I221" s="34" t="s">
        <v>1292</v>
      </c>
      <c r="J221" s="34" t="s">
        <v>1295</v>
      </c>
      <c r="K221" s="44"/>
      <c r="L221" s="37"/>
    </row>
    <row r="222" spans="1:12" x14ac:dyDescent="0.25">
      <c r="A222" s="34">
        <v>221</v>
      </c>
      <c r="B222" s="35" t="s">
        <v>223</v>
      </c>
      <c r="C222" s="34">
        <v>23067060</v>
      </c>
      <c r="D222" s="34" t="s">
        <v>1519</v>
      </c>
      <c r="E222" s="34" t="s">
        <v>1536</v>
      </c>
      <c r="F222" s="34" t="s">
        <v>1507</v>
      </c>
      <c r="G222" s="36" t="s">
        <v>1290</v>
      </c>
      <c r="H222" s="34" t="s">
        <v>1291</v>
      </c>
      <c r="I222" s="34" t="s">
        <v>1292</v>
      </c>
      <c r="J222" s="34" t="s">
        <v>1293</v>
      </c>
      <c r="K222" s="44"/>
      <c r="L222" s="37"/>
    </row>
    <row r="223" spans="1:12" x14ac:dyDescent="0.25">
      <c r="A223" s="34">
        <v>222</v>
      </c>
      <c r="B223" s="35" t="s">
        <v>224</v>
      </c>
      <c r="C223" s="34">
        <v>35035130</v>
      </c>
      <c r="D223" s="34" t="s">
        <v>1519</v>
      </c>
      <c r="E223" s="34" t="s">
        <v>1537</v>
      </c>
      <c r="F223" s="34" t="s">
        <v>1507</v>
      </c>
      <c r="G223" s="36" t="s">
        <v>1290</v>
      </c>
      <c r="H223" s="34" t="s">
        <v>1300</v>
      </c>
      <c r="I223" s="34" t="s">
        <v>1292</v>
      </c>
      <c r="J223" s="34" t="s">
        <v>1295</v>
      </c>
      <c r="K223" s="44">
        <v>45981</v>
      </c>
      <c r="L223" s="37"/>
    </row>
    <row r="224" spans="1:12" x14ac:dyDescent="0.25">
      <c r="A224" s="34">
        <v>223</v>
      </c>
      <c r="B224" s="35" t="s">
        <v>225</v>
      </c>
      <c r="C224" s="34">
        <v>12015060</v>
      </c>
      <c r="D224" s="34" t="s">
        <v>1287</v>
      </c>
      <c r="E224" s="34" t="s">
        <v>1538</v>
      </c>
      <c r="F224" s="34" t="s">
        <v>1289</v>
      </c>
      <c r="G224" s="36" t="s">
        <v>1290</v>
      </c>
      <c r="H224" s="38" t="s">
        <v>1291</v>
      </c>
      <c r="I224" s="34" t="s">
        <v>1292</v>
      </c>
      <c r="J224" s="34" t="s">
        <v>1334</v>
      </c>
      <c r="K224" s="44">
        <v>45970</v>
      </c>
      <c r="L224" s="37"/>
    </row>
    <row r="225" spans="1:12" x14ac:dyDescent="0.25">
      <c r="A225" s="34">
        <v>224</v>
      </c>
      <c r="B225" s="34" t="s">
        <v>226</v>
      </c>
      <c r="C225" s="34">
        <v>2308500071</v>
      </c>
      <c r="D225" s="34" t="s">
        <v>1287</v>
      </c>
      <c r="E225" s="34" t="s">
        <v>1539</v>
      </c>
      <c r="F225" s="34" t="s">
        <v>1289</v>
      </c>
      <c r="G225" s="34" t="s">
        <v>1297</v>
      </c>
      <c r="H225" s="34" t="s">
        <v>1391</v>
      </c>
      <c r="I225" s="34" t="s">
        <v>1292</v>
      </c>
      <c r="J225" s="34" t="s">
        <v>1295</v>
      </c>
      <c r="K225" s="44">
        <v>46057</v>
      </c>
      <c r="L225" s="37" t="s">
        <v>1392</v>
      </c>
    </row>
    <row r="226" spans="1:12" x14ac:dyDescent="0.25">
      <c r="A226" s="34">
        <v>225</v>
      </c>
      <c r="B226" s="35" t="s">
        <v>227</v>
      </c>
      <c r="C226" s="34">
        <v>2621500070</v>
      </c>
      <c r="D226" s="34" t="s">
        <v>1287</v>
      </c>
      <c r="E226" s="34" t="s">
        <v>1540</v>
      </c>
      <c r="F226" s="34" t="s">
        <v>1289</v>
      </c>
      <c r="G226" s="36" t="s">
        <v>1290</v>
      </c>
      <c r="H226" s="38" t="s">
        <v>1291</v>
      </c>
      <c r="I226" s="34" t="s">
        <v>1292</v>
      </c>
      <c r="J226" s="34" t="s">
        <v>1295</v>
      </c>
      <c r="K226" s="44"/>
      <c r="L226" s="37"/>
    </row>
    <row r="227" spans="1:12" x14ac:dyDescent="0.25">
      <c r="A227" s="38">
        <v>226</v>
      </c>
      <c r="B227" s="35" t="s">
        <v>228</v>
      </c>
      <c r="C227" s="34">
        <v>23087160</v>
      </c>
      <c r="D227" s="34" t="s">
        <v>1287</v>
      </c>
      <c r="E227" s="34" t="s">
        <v>1318</v>
      </c>
      <c r="F227" s="34" t="s">
        <v>1289</v>
      </c>
      <c r="G227" s="36" t="s">
        <v>1290</v>
      </c>
      <c r="H227" s="38" t="s">
        <v>1291</v>
      </c>
      <c r="I227" s="34" t="s">
        <v>1292</v>
      </c>
      <c r="J227" s="34" t="s">
        <v>1293</v>
      </c>
      <c r="K227" s="44">
        <v>45985</v>
      </c>
      <c r="L227" s="37"/>
    </row>
    <row r="228" spans="1:12" x14ac:dyDescent="0.25">
      <c r="A228" s="34">
        <v>227</v>
      </c>
      <c r="B228" s="35" t="s">
        <v>229</v>
      </c>
      <c r="C228" s="34">
        <v>12025040</v>
      </c>
      <c r="D228" s="34" t="s">
        <v>1287</v>
      </c>
      <c r="E228" s="34" t="s">
        <v>1541</v>
      </c>
      <c r="F228" s="34" t="s">
        <v>1289</v>
      </c>
      <c r="G228" s="36" t="s">
        <v>1290</v>
      </c>
      <c r="H228" s="38" t="s">
        <v>1291</v>
      </c>
      <c r="I228" s="34" t="s">
        <v>1292</v>
      </c>
      <c r="J228" s="34" t="s">
        <v>1334</v>
      </c>
      <c r="K228" s="44"/>
      <c r="L228" s="37"/>
    </row>
    <row r="229" spans="1:12" ht="25.5" x14ac:dyDescent="0.25">
      <c r="A229" s="34">
        <v>228</v>
      </c>
      <c r="B229" s="35" t="s">
        <v>230</v>
      </c>
      <c r="C229" s="34">
        <v>11115020</v>
      </c>
      <c r="D229" s="35" t="s">
        <v>1287</v>
      </c>
      <c r="E229" s="35" t="s">
        <v>1542</v>
      </c>
      <c r="F229" s="35" t="s">
        <v>1289</v>
      </c>
      <c r="G229" s="57" t="s">
        <v>1307</v>
      </c>
      <c r="H229" s="35" t="s">
        <v>1308</v>
      </c>
      <c r="I229" s="35" t="s">
        <v>1309</v>
      </c>
      <c r="J229" s="35" t="s">
        <v>1334</v>
      </c>
      <c r="K229" s="45"/>
      <c r="L229" s="42" t="s">
        <v>1310</v>
      </c>
    </row>
    <row r="230" spans="1:12" x14ac:dyDescent="0.25">
      <c r="A230" s="34">
        <v>229</v>
      </c>
      <c r="B230" s="35" t="s">
        <v>231</v>
      </c>
      <c r="C230" s="34">
        <v>12015100</v>
      </c>
      <c r="D230" s="34" t="s">
        <v>1287</v>
      </c>
      <c r="E230" s="34" t="s">
        <v>1541</v>
      </c>
      <c r="F230" s="34" t="s">
        <v>1289</v>
      </c>
      <c r="G230" s="36" t="s">
        <v>1290</v>
      </c>
      <c r="H230" s="38" t="s">
        <v>1291</v>
      </c>
      <c r="I230" s="34" t="s">
        <v>1292</v>
      </c>
      <c r="J230" s="34" t="s">
        <v>1315</v>
      </c>
      <c r="K230" s="44"/>
      <c r="L230" s="37"/>
    </row>
    <row r="231" spans="1:12" x14ac:dyDescent="0.25">
      <c r="A231" s="34">
        <v>230</v>
      </c>
      <c r="B231" s="35" t="s">
        <v>232</v>
      </c>
      <c r="C231" s="34">
        <v>26187040</v>
      </c>
      <c r="D231" s="34" t="s">
        <v>1287</v>
      </c>
      <c r="E231" s="34" t="s">
        <v>1543</v>
      </c>
      <c r="F231" s="34" t="s">
        <v>1289</v>
      </c>
      <c r="G231" s="36" t="s">
        <v>1290</v>
      </c>
      <c r="H231" s="38" t="s">
        <v>1291</v>
      </c>
      <c r="I231" s="34" t="s">
        <v>1292</v>
      </c>
      <c r="J231" s="34" t="s">
        <v>1293</v>
      </c>
      <c r="K231" s="44"/>
      <c r="L231" s="37"/>
    </row>
    <row r="232" spans="1:12" x14ac:dyDescent="0.25">
      <c r="A232" s="34">
        <v>231</v>
      </c>
      <c r="B232" s="35" t="s">
        <v>233</v>
      </c>
      <c r="C232" s="34">
        <v>2619700161</v>
      </c>
      <c r="D232" s="34" t="s">
        <v>1287</v>
      </c>
      <c r="E232" s="34" t="s">
        <v>1544</v>
      </c>
      <c r="F232" s="34" t="s">
        <v>1289</v>
      </c>
      <c r="G232" s="36" t="s">
        <v>1290</v>
      </c>
      <c r="H232" s="34" t="s">
        <v>1300</v>
      </c>
      <c r="I232" s="34" t="s">
        <v>1292</v>
      </c>
      <c r="J232" s="34" t="s">
        <v>1293</v>
      </c>
      <c r="K232" s="44"/>
      <c r="L232" s="37"/>
    </row>
    <row r="233" spans="1:12" ht="25.5" x14ac:dyDescent="0.25">
      <c r="A233" s="34">
        <v>232</v>
      </c>
      <c r="B233" s="35" t="s">
        <v>234</v>
      </c>
      <c r="C233" s="34">
        <v>12027010</v>
      </c>
      <c r="D233" s="35" t="s">
        <v>1287</v>
      </c>
      <c r="E233" s="35" t="s">
        <v>1541</v>
      </c>
      <c r="F233" s="35" t="s">
        <v>1289</v>
      </c>
      <c r="G233" s="57" t="s">
        <v>1307</v>
      </c>
      <c r="H233" s="58" t="s">
        <v>1308</v>
      </c>
      <c r="I233" s="35" t="s">
        <v>1309</v>
      </c>
      <c r="J233" s="35" t="s">
        <v>1293</v>
      </c>
      <c r="K233" s="45">
        <v>44567</v>
      </c>
      <c r="L233" s="42" t="s">
        <v>1310</v>
      </c>
    </row>
    <row r="234" spans="1:12" x14ac:dyDescent="0.25">
      <c r="A234" s="38">
        <v>233</v>
      </c>
      <c r="B234" s="35" t="s">
        <v>235</v>
      </c>
      <c r="C234" s="34">
        <v>26180250</v>
      </c>
      <c r="D234" s="34" t="s">
        <v>1287</v>
      </c>
      <c r="E234" s="34" t="s">
        <v>1545</v>
      </c>
      <c r="F234" s="34" t="s">
        <v>1485</v>
      </c>
      <c r="G234" s="36" t="s">
        <v>1290</v>
      </c>
      <c r="H234" s="34" t="s">
        <v>1300</v>
      </c>
      <c r="I234" s="34" t="s">
        <v>1292</v>
      </c>
      <c r="J234" s="34" t="s">
        <v>1320</v>
      </c>
      <c r="K234" s="44">
        <v>45975</v>
      </c>
      <c r="L234" s="37"/>
    </row>
    <row r="235" spans="1:12" x14ac:dyDescent="0.25">
      <c r="A235" s="34">
        <v>234</v>
      </c>
      <c r="B235" s="34" t="s">
        <v>236</v>
      </c>
      <c r="C235" s="34">
        <v>23087190</v>
      </c>
      <c r="D235" s="34" t="s">
        <v>1287</v>
      </c>
      <c r="E235" s="34" t="s">
        <v>1546</v>
      </c>
      <c r="F235" s="34" t="s">
        <v>1289</v>
      </c>
      <c r="G235" s="34" t="s">
        <v>1297</v>
      </c>
      <c r="H235" s="38" t="s">
        <v>1391</v>
      </c>
      <c r="I235" s="34" t="s">
        <v>1292</v>
      </c>
      <c r="J235" s="34" t="s">
        <v>1293</v>
      </c>
      <c r="K235" s="44">
        <v>46057</v>
      </c>
      <c r="L235" s="37" t="s">
        <v>1392</v>
      </c>
    </row>
    <row r="236" spans="1:12" x14ac:dyDescent="0.25">
      <c r="A236" s="34">
        <v>235</v>
      </c>
      <c r="B236" s="35" t="s">
        <v>237</v>
      </c>
      <c r="C236" s="34">
        <v>27037020</v>
      </c>
      <c r="D236" s="34" t="s">
        <v>1287</v>
      </c>
      <c r="E236" s="34" t="s">
        <v>1547</v>
      </c>
      <c r="F236" s="34" t="s">
        <v>1289</v>
      </c>
      <c r="G236" s="34" t="s">
        <v>1297</v>
      </c>
      <c r="H236" s="38" t="s">
        <v>1300</v>
      </c>
      <c r="I236" s="34" t="s">
        <v>1292</v>
      </c>
      <c r="J236" s="34" t="s">
        <v>1293</v>
      </c>
      <c r="K236" s="44" t="s">
        <v>1548</v>
      </c>
      <c r="L236" s="37"/>
    </row>
    <row r="237" spans="1:12" x14ac:dyDescent="0.25">
      <c r="A237" s="34">
        <v>236</v>
      </c>
      <c r="B237" s="35" t="s">
        <v>238</v>
      </c>
      <c r="C237" s="34">
        <v>12017020</v>
      </c>
      <c r="D237" s="34" t="s">
        <v>1287</v>
      </c>
      <c r="E237" s="34" t="s">
        <v>1549</v>
      </c>
      <c r="F237" s="34" t="s">
        <v>1289</v>
      </c>
      <c r="G237" s="36" t="s">
        <v>1290</v>
      </c>
      <c r="H237" s="38" t="s">
        <v>1291</v>
      </c>
      <c r="I237" s="34" t="s">
        <v>1292</v>
      </c>
      <c r="J237" s="34" t="s">
        <v>1293</v>
      </c>
      <c r="K237" s="44"/>
      <c r="L237" s="37"/>
    </row>
    <row r="238" spans="1:12" x14ac:dyDescent="0.25">
      <c r="A238" s="34">
        <v>237</v>
      </c>
      <c r="B238" s="35" t="s">
        <v>239</v>
      </c>
      <c r="C238" s="34">
        <v>11135030</v>
      </c>
      <c r="D238" s="34" t="s">
        <v>1287</v>
      </c>
      <c r="E238" s="34" t="s">
        <v>1550</v>
      </c>
      <c r="F238" s="34" t="s">
        <v>1303</v>
      </c>
      <c r="G238" s="36" t="s">
        <v>1290</v>
      </c>
      <c r="H238" s="38" t="s">
        <v>1291</v>
      </c>
      <c r="I238" s="34" t="s">
        <v>1292</v>
      </c>
      <c r="J238" s="34" t="s">
        <v>1295</v>
      </c>
      <c r="K238" s="44"/>
      <c r="L238" s="37"/>
    </row>
    <row r="239" spans="1:12" x14ac:dyDescent="0.25">
      <c r="A239" s="34">
        <v>238</v>
      </c>
      <c r="B239" s="35" t="s">
        <v>240</v>
      </c>
      <c r="C239" s="34">
        <v>2614500116</v>
      </c>
      <c r="D239" s="34" t="s">
        <v>1287</v>
      </c>
      <c r="E239" s="34" t="s">
        <v>1551</v>
      </c>
      <c r="F239" s="34" t="s">
        <v>1289</v>
      </c>
      <c r="G239" s="36" t="s">
        <v>1290</v>
      </c>
      <c r="H239" s="38" t="s">
        <v>1291</v>
      </c>
      <c r="I239" s="34" t="s">
        <v>1292</v>
      </c>
      <c r="J239" s="34" t="s">
        <v>1295</v>
      </c>
      <c r="K239" s="44"/>
      <c r="L239" s="37"/>
    </row>
    <row r="240" spans="1:12" x14ac:dyDescent="0.25">
      <c r="A240" s="34">
        <v>239</v>
      </c>
      <c r="B240" s="34" t="s">
        <v>241</v>
      </c>
      <c r="C240" s="34">
        <v>1303500074</v>
      </c>
      <c r="D240" s="34" t="s">
        <v>1325</v>
      </c>
      <c r="E240" s="34" t="s">
        <v>1335</v>
      </c>
      <c r="F240" s="34" t="s">
        <v>1327</v>
      </c>
      <c r="G240" s="34" t="s">
        <v>1297</v>
      </c>
      <c r="H240" s="34" t="s">
        <v>1391</v>
      </c>
      <c r="I240" s="34" t="s">
        <v>1292</v>
      </c>
      <c r="J240" s="34" t="s">
        <v>1295</v>
      </c>
      <c r="K240" s="44">
        <v>46114</v>
      </c>
      <c r="L240" s="46" t="s">
        <v>1392</v>
      </c>
    </row>
    <row r="241" spans="1:12" x14ac:dyDescent="0.25">
      <c r="A241" s="38">
        <v>240</v>
      </c>
      <c r="B241" s="34" t="s">
        <v>242</v>
      </c>
      <c r="C241" s="34">
        <v>2501500120</v>
      </c>
      <c r="D241" s="34" t="s">
        <v>1325</v>
      </c>
      <c r="E241" s="34" t="s">
        <v>1329</v>
      </c>
      <c r="F241" s="34" t="s">
        <v>1327</v>
      </c>
      <c r="G241" s="34" t="s">
        <v>1297</v>
      </c>
      <c r="H241" s="34" t="s">
        <v>1391</v>
      </c>
      <c r="I241" s="34" t="s">
        <v>1292</v>
      </c>
      <c r="J241" s="34" t="s">
        <v>1295</v>
      </c>
      <c r="K241" s="44">
        <v>46114</v>
      </c>
      <c r="L241" s="46" t="s">
        <v>1392</v>
      </c>
    </row>
    <row r="242" spans="1:12" x14ac:dyDescent="0.25">
      <c r="A242" s="34">
        <v>241</v>
      </c>
      <c r="B242" s="34" t="s">
        <v>243</v>
      </c>
      <c r="C242" s="34">
        <v>25025340</v>
      </c>
      <c r="D242" s="34" t="s">
        <v>1325</v>
      </c>
      <c r="E242" s="34" t="s">
        <v>1552</v>
      </c>
      <c r="F242" s="34" t="s">
        <v>1349</v>
      </c>
      <c r="G242" s="34" t="s">
        <v>1297</v>
      </c>
      <c r="H242" s="34" t="s">
        <v>1391</v>
      </c>
      <c r="I242" s="34" t="s">
        <v>1292</v>
      </c>
      <c r="J242" s="34" t="s">
        <v>1295</v>
      </c>
      <c r="K242" s="44">
        <v>46114</v>
      </c>
      <c r="L242" s="46" t="s">
        <v>1392</v>
      </c>
    </row>
    <row r="243" spans="1:12" x14ac:dyDescent="0.25">
      <c r="A243" s="34">
        <v>242</v>
      </c>
      <c r="B243" s="34" t="s">
        <v>244</v>
      </c>
      <c r="C243" s="34">
        <v>2502700153</v>
      </c>
      <c r="D243" s="34" t="s">
        <v>1325</v>
      </c>
      <c r="E243" s="34" t="s">
        <v>1553</v>
      </c>
      <c r="F243" s="34" t="s">
        <v>1333</v>
      </c>
      <c r="G243" s="34" t="s">
        <v>1297</v>
      </c>
      <c r="H243" s="34" t="s">
        <v>1391</v>
      </c>
      <c r="I243" s="34" t="s">
        <v>1292</v>
      </c>
      <c r="J243" s="34" t="s">
        <v>1293</v>
      </c>
      <c r="K243" s="44">
        <v>46114</v>
      </c>
      <c r="L243" s="46" t="s">
        <v>1392</v>
      </c>
    </row>
    <row r="244" spans="1:12" x14ac:dyDescent="0.25">
      <c r="A244" s="34">
        <v>243</v>
      </c>
      <c r="B244" s="34" t="s">
        <v>245</v>
      </c>
      <c r="C244" s="34">
        <v>3503500062</v>
      </c>
      <c r="D244" s="34" t="s">
        <v>1352</v>
      </c>
      <c r="E244" s="34" t="s">
        <v>1554</v>
      </c>
      <c r="F244" s="34" t="s">
        <v>1354</v>
      </c>
      <c r="G244" s="34" t="s">
        <v>1297</v>
      </c>
      <c r="H244" s="34" t="s">
        <v>1391</v>
      </c>
      <c r="I244" s="34" t="s">
        <v>1292</v>
      </c>
      <c r="J244" s="34" t="s">
        <v>1295</v>
      </c>
      <c r="K244" s="44">
        <v>46114</v>
      </c>
      <c r="L244" s="46" t="s">
        <v>1392</v>
      </c>
    </row>
    <row r="245" spans="1:12" x14ac:dyDescent="0.25">
      <c r="A245" s="34">
        <v>244</v>
      </c>
      <c r="B245" s="35" t="s">
        <v>246</v>
      </c>
      <c r="C245" s="34">
        <v>3502700090</v>
      </c>
      <c r="D245" s="34" t="s">
        <v>1352</v>
      </c>
      <c r="E245" s="34" t="s">
        <v>1353</v>
      </c>
      <c r="F245" s="34" t="s">
        <v>1354</v>
      </c>
      <c r="G245" s="36" t="s">
        <v>1290</v>
      </c>
      <c r="H245" s="34" t="s">
        <v>1291</v>
      </c>
      <c r="I245" s="34" t="s">
        <v>1292</v>
      </c>
      <c r="J245" s="34" t="s">
        <v>1293</v>
      </c>
      <c r="K245" s="44"/>
      <c r="L245" s="34"/>
    </row>
    <row r="246" spans="1:12" x14ac:dyDescent="0.25">
      <c r="A246" s="34">
        <v>245</v>
      </c>
      <c r="B246" s="35" t="s">
        <v>247</v>
      </c>
      <c r="C246" s="34">
        <v>35095110</v>
      </c>
      <c r="D246" s="34" t="s">
        <v>1352</v>
      </c>
      <c r="E246" s="34" t="s">
        <v>1555</v>
      </c>
      <c r="F246" s="34" t="s">
        <v>1410</v>
      </c>
      <c r="G246" s="36" t="s">
        <v>1290</v>
      </c>
      <c r="H246" s="34" t="s">
        <v>1291</v>
      </c>
      <c r="I246" s="34" t="s">
        <v>1292</v>
      </c>
      <c r="J246" s="34" t="s">
        <v>1295</v>
      </c>
      <c r="K246" s="44">
        <v>45700</v>
      </c>
      <c r="L246" s="34"/>
    </row>
    <row r="247" spans="1:12" x14ac:dyDescent="0.25">
      <c r="A247" s="34">
        <v>246</v>
      </c>
      <c r="B247" s="34" t="s">
        <v>248</v>
      </c>
      <c r="C247" s="34">
        <v>44037040</v>
      </c>
      <c r="D247" s="34" t="s">
        <v>1366</v>
      </c>
      <c r="E247" s="34" t="s">
        <v>1370</v>
      </c>
      <c r="F247" s="34" t="s">
        <v>1371</v>
      </c>
      <c r="G247" s="34" t="s">
        <v>1297</v>
      </c>
      <c r="H247" s="34" t="s">
        <v>1391</v>
      </c>
      <c r="I247" s="34" t="s">
        <v>1292</v>
      </c>
      <c r="J247" s="34" t="s">
        <v>1293</v>
      </c>
      <c r="K247" s="44">
        <v>46114</v>
      </c>
      <c r="L247" s="46" t="s">
        <v>1392</v>
      </c>
    </row>
    <row r="248" spans="1:12" x14ac:dyDescent="0.25">
      <c r="A248" s="38">
        <v>247</v>
      </c>
      <c r="B248" s="34" t="s">
        <v>249</v>
      </c>
      <c r="C248" s="34">
        <v>21117100</v>
      </c>
      <c r="D248" s="34" t="s">
        <v>1366</v>
      </c>
      <c r="E248" s="34" t="s">
        <v>1556</v>
      </c>
      <c r="F248" s="34" t="s">
        <v>1368</v>
      </c>
      <c r="G248" s="34" t="s">
        <v>1297</v>
      </c>
      <c r="H248" s="34" t="s">
        <v>1391</v>
      </c>
      <c r="I248" s="34" t="s">
        <v>1292</v>
      </c>
      <c r="J248" s="34" t="s">
        <v>1293</v>
      </c>
      <c r="K248" s="44">
        <v>46058</v>
      </c>
      <c r="L248" s="46" t="s">
        <v>1392</v>
      </c>
    </row>
    <row r="249" spans="1:12" x14ac:dyDescent="0.25">
      <c r="A249" s="34">
        <v>248</v>
      </c>
      <c r="B249" s="59" t="s">
        <v>250</v>
      </c>
      <c r="C249" s="34">
        <v>21055070</v>
      </c>
      <c r="D249" s="34" t="s">
        <v>1366</v>
      </c>
      <c r="E249" s="34" t="s">
        <v>1557</v>
      </c>
      <c r="F249" s="34" t="s">
        <v>1430</v>
      </c>
      <c r="G249" s="34" t="s">
        <v>1344</v>
      </c>
      <c r="H249" s="60" t="s">
        <v>1558</v>
      </c>
      <c r="I249" s="34" t="s">
        <v>1292</v>
      </c>
      <c r="J249" s="34" t="s">
        <v>1295</v>
      </c>
      <c r="K249" s="44" t="s">
        <v>1559</v>
      </c>
      <c r="L249" s="61" t="s">
        <v>1558</v>
      </c>
    </row>
    <row r="250" spans="1:12" x14ac:dyDescent="0.25">
      <c r="A250" s="34">
        <v>249</v>
      </c>
      <c r="B250" s="34" t="s">
        <v>251</v>
      </c>
      <c r="C250" s="34">
        <v>21137050</v>
      </c>
      <c r="D250" s="34" t="s">
        <v>1366</v>
      </c>
      <c r="E250" s="34" t="s">
        <v>1560</v>
      </c>
      <c r="F250" s="34" t="s">
        <v>1504</v>
      </c>
      <c r="G250" s="34" t="s">
        <v>1297</v>
      </c>
      <c r="H250" s="34" t="s">
        <v>1391</v>
      </c>
      <c r="I250" s="34" t="s">
        <v>1292</v>
      </c>
      <c r="J250" s="34" t="s">
        <v>1293</v>
      </c>
      <c r="K250" s="44">
        <v>46114</v>
      </c>
      <c r="L250" s="46" t="s">
        <v>1392</v>
      </c>
    </row>
    <row r="251" spans="1:12" x14ac:dyDescent="0.25">
      <c r="A251" s="34">
        <v>250</v>
      </c>
      <c r="B251" s="59" t="s">
        <v>252</v>
      </c>
      <c r="C251" s="34">
        <v>2105700099</v>
      </c>
      <c r="D251" s="34" t="s">
        <v>1366</v>
      </c>
      <c r="E251" s="34" t="s">
        <v>1561</v>
      </c>
      <c r="F251" s="34" t="s">
        <v>1430</v>
      </c>
      <c r="G251" s="34" t="s">
        <v>1344</v>
      </c>
      <c r="H251" s="60" t="s">
        <v>1558</v>
      </c>
      <c r="I251" s="34" t="s">
        <v>1292</v>
      </c>
      <c r="J251" s="34" t="s">
        <v>1293</v>
      </c>
      <c r="K251" s="44" t="s">
        <v>1562</v>
      </c>
      <c r="L251" s="61" t="s">
        <v>1558</v>
      </c>
    </row>
    <row r="252" spans="1:12" x14ac:dyDescent="0.25">
      <c r="A252" s="34">
        <v>251</v>
      </c>
      <c r="B252" s="34" t="s">
        <v>253</v>
      </c>
      <c r="C252" s="34">
        <v>44035050</v>
      </c>
      <c r="D252" s="34" t="s">
        <v>1366</v>
      </c>
      <c r="E252" s="34" t="s">
        <v>1370</v>
      </c>
      <c r="F252" s="34" t="s">
        <v>1371</v>
      </c>
      <c r="G252" s="38" t="s">
        <v>1297</v>
      </c>
      <c r="H252" s="34" t="s">
        <v>1391</v>
      </c>
      <c r="I252" s="62" t="s">
        <v>1292</v>
      </c>
      <c r="J252" s="34" t="s">
        <v>1315</v>
      </c>
      <c r="K252" s="44">
        <v>46114</v>
      </c>
      <c r="L252" s="46" t="s">
        <v>1392</v>
      </c>
    </row>
    <row r="253" spans="1:12" x14ac:dyDescent="0.25">
      <c r="A253" s="34">
        <v>252</v>
      </c>
      <c r="B253" s="34" t="s">
        <v>254</v>
      </c>
      <c r="C253" s="34">
        <v>46015030</v>
      </c>
      <c r="D253" s="34" t="s">
        <v>1366</v>
      </c>
      <c r="E253" s="34" t="s">
        <v>1563</v>
      </c>
      <c r="F253" s="63" t="s">
        <v>1371</v>
      </c>
      <c r="G253" s="38" t="s">
        <v>1297</v>
      </c>
      <c r="H253" s="34" t="s">
        <v>1391</v>
      </c>
      <c r="I253" s="64" t="s">
        <v>1292</v>
      </c>
      <c r="J253" s="65" t="s">
        <v>1295</v>
      </c>
      <c r="K253" s="44">
        <v>46114</v>
      </c>
      <c r="L253" s="46" t="s">
        <v>1392</v>
      </c>
    </row>
    <row r="254" spans="1:12" x14ac:dyDescent="0.25">
      <c r="A254" s="34">
        <v>253</v>
      </c>
      <c r="B254" s="34" t="s">
        <v>255</v>
      </c>
      <c r="C254" s="34">
        <v>21015050</v>
      </c>
      <c r="D254" s="34" t="s">
        <v>1366</v>
      </c>
      <c r="E254" s="34" t="s">
        <v>1374</v>
      </c>
      <c r="F254" s="63" t="s">
        <v>1368</v>
      </c>
      <c r="G254" s="38" t="s">
        <v>1297</v>
      </c>
      <c r="H254" s="60" t="s">
        <v>1391</v>
      </c>
      <c r="I254" s="64" t="s">
        <v>1292</v>
      </c>
      <c r="J254" s="65" t="s">
        <v>1295</v>
      </c>
      <c r="K254" s="44">
        <v>46114</v>
      </c>
      <c r="L254" s="46" t="s">
        <v>1392</v>
      </c>
    </row>
    <row r="255" spans="1:12" x14ac:dyDescent="0.25">
      <c r="A255" s="38">
        <v>254</v>
      </c>
      <c r="B255" s="34" t="s">
        <v>256</v>
      </c>
      <c r="C255" s="34">
        <v>21147030</v>
      </c>
      <c r="D255" s="34" t="s">
        <v>1366</v>
      </c>
      <c r="E255" s="34" t="s">
        <v>1377</v>
      </c>
      <c r="F255" s="34" t="s">
        <v>1368</v>
      </c>
      <c r="G255" s="49" t="s">
        <v>1297</v>
      </c>
      <c r="H255" s="49" t="s">
        <v>1391</v>
      </c>
      <c r="I255" s="49" t="s">
        <v>1292</v>
      </c>
      <c r="J255" s="34" t="s">
        <v>1293</v>
      </c>
      <c r="K255" s="44">
        <v>46114</v>
      </c>
      <c r="L255" s="46" t="s">
        <v>1392</v>
      </c>
    </row>
    <row r="256" spans="1:12" x14ac:dyDescent="0.25">
      <c r="A256" s="34">
        <v>255</v>
      </c>
      <c r="B256" s="34" t="s">
        <v>257</v>
      </c>
      <c r="C256" s="34">
        <v>46035010</v>
      </c>
      <c r="D256" s="34" t="s">
        <v>1366</v>
      </c>
      <c r="E256" s="34" t="s">
        <v>1564</v>
      </c>
      <c r="F256" s="34" t="s">
        <v>1371</v>
      </c>
      <c r="G256" s="34" t="s">
        <v>1297</v>
      </c>
      <c r="H256" s="34" t="s">
        <v>1391</v>
      </c>
      <c r="I256" s="34" t="s">
        <v>1292</v>
      </c>
      <c r="J256" s="34" t="s">
        <v>1334</v>
      </c>
      <c r="K256" s="44">
        <v>46114</v>
      </c>
      <c r="L256" s="46" t="s">
        <v>1392</v>
      </c>
    </row>
    <row r="257" spans="1:12" x14ac:dyDescent="0.25">
      <c r="A257" s="34">
        <v>256</v>
      </c>
      <c r="B257" s="34" t="s">
        <v>258</v>
      </c>
      <c r="C257" s="34">
        <v>21037020</v>
      </c>
      <c r="D257" s="34" t="s">
        <v>1366</v>
      </c>
      <c r="E257" s="34" t="s">
        <v>1565</v>
      </c>
      <c r="F257" s="34" t="s">
        <v>1368</v>
      </c>
      <c r="G257" s="34" t="s">
        <v>1297</v>
      </c>
      <c r="H257" s="34" t="s">
        <v>1391</v>
      </c>
      <c r="I257" s="34" t="s">
        <v>1292</v>
      </c>
      <c r="J257" s="34" t="s">
        <v>1293</v>
      </c>
      <c r="K257" s="44">
        <v>46114</v>
      </c>
      <c r="L257" s="46" t="s">
        <v>1392</v>
      </c>
    </row>
    <row r="258" spans="1:12" x14ac:dyDescent="0.25">
      <c r="A258" s="34">
        <v>257</v>
      </c>
      <c r="B258" s="34" t="s">
        <v>259</v>
      </c>
      <c r="C258" s="34">
        <v>21015070</v>
      </c>
      <c r="D258" s="34" t="s">
        <v>1366</v>
      </c>
      <c r="E258" s="34" t="s">
        <v>1566</v>
      </c>
      <c r="F258" s="34" t="s">
        <v>1368</v>
      </c>
      <c r="G258" s="34" t="s">
        <v>1297</v>
      </c>
      <c r="H258" s="34" t="s">
        <v>1391</v>
      </c>
      <c r="I258" s="34" t="s">
        <v>1292</v>
      </c>
      <c r="J258" s="34" t="s">
        <v>1295</v>
      </c>
      <c r="K258" s="44">
        <v>46114</v>
      </c>
      <c r="L258" s="46" t="s">
        <v>1392</v>
      </c>
    </row>
    <row r="259" spans="1:12" x14ac:dyDescent="0.25">
      <c r="A259" s="34">
        <v>258</v>
      </c>
      <c r="B259" s="34" t="s">
        <v>260</v>
      </c>
      <c r="C259" s="34">
        <v>21115170</v>
      </c>
      <c r="D259" s="34" t="s">
        <v>1366</v>
      </c>
      <c r="E259" s="34" t="s">
        <v>1556</v>
      </c>
      <c r="F259" s="34" t="s">
        <v>1368</v>
      </c>
      <c r="G259" s="34" t="s">
        <v>1297</v>
      </c>
      <c r="H259" s="34" t="s">
        <v>1391</v>
      </c>
      <c r="I259" s="34" t="s">
        <v>1292</v>
      </c>
      <c r="J259" s="34" t="s">
        <v>1295</v>
      </c>
      <c r="K259" s="44">
        <v>46114</v>
      </c>
      <c r="L259" s="46" t="s">
        <v>1392</v>
      </c>
    </row>
    <row r="260" spans="1:12" x14ac:dyDescent="0.25">
      <c r="A260" s="34">
        <v>259</v>
      </c>
      <c r="B260" s="35" t="s">
        <v>261</v>
      </c>
      <c r="C260" s="34">
        <v>28035070</v>
      </c>
      <c r="D260" s="34" t="s">
        <v>1383</v>
      </c>
      <c r="E260" s="34" t="s">
        <v>1388</v>
      </c>
      <c r="F260" s="34" t="s">
        <v>1389</v>
      </c>
      <c r="G260" s="36" t="s">
        <v>1290</v>
      </c>
      <c r="H260" s="38" t="s">
        <v>1300</v>
      </c>
      <c r="I260" s="34" t="s">
        <v>1292</v>
      </c>
      <c r="J260" s="34" t="s">
        <v>1295</v>
      </c>
      <c r="K260" s="44"/>
      <c r="L260" s="43"/>
    </row>
    <row r="261" spans="1:12" x14ac:dyDescent="0.25">
      <c r="A261" s="34">
        <v>260</v>
      </c>
      <c r="B261" s="59" t="s">
        <v>262</v>
      </c>
      <c r="C261" s="34">
        <v>2906500077</v>
      </c>
      <c r="D261" s="34" t="s">
        <v>1383</v>
      </c>
      <c r="E261" s="34" t="s">
        <v>1567</v>
      </c>
      <c r="F261" s="34" t="s">
        <v>1385</v>
      </c>
      <c r="G261" s="66" t="s">
        <v>1344</v>
      </c>
      <c r="H261" s="60" t="s">
        <v>1558</v>
      </c>
      <c r="I261" s="34" t="s">
        <v>1292</v>
      </c>
      <c r="J261" s="34" t="s">
        <v>1295</v>
      </c>
      <c r="K261" s="44">
        <v>45999</v>
      </c>
      <c r="L261" s="61" t="s">
        <v>1558</v>
      </c>
    </row>
    <row r="262" spans="1:12" x14ac:dyDescent="0.25">
      <c r="A262" s="38">
        <v>261</v>
      </c>
      <c r="B262" s="35" t="s">
        <v>263</v>
      </c>
      <c r="C262" s="34">
        <v>2801700088</v>
      </c>
      <c r="D262" s="34" t="s">
        <v>1383</v>
      </c>
      <c r="E262" s="34" t="s">
        <v>1388</v>
      </c>
      <c r="F262" s="34" t="s">
        <v>1389</v>
      </c>
      <c r="G262" s="36" t="s">
        <v>1290</v>
      </c>
      <c r="H262" s="38" t="s">
        <v>1291</v>
      </c>
      <c r="I262" s="34" t="s">
        <v>1292</v>
      </c>
      <c r="J262" s="34" t="s">
        <v>1293</v>
      </c>
      <c r="K262" s="44"/>
      <c r="L262" s="43"/>
    </row>
    <row r="263" spans="1:12" x14ac:dyDescent="0.25">
      <c r="A263" s="34">
        <v>262</v>
      </c>
      <c r="B263" s="34" t="s">
        <v>264</v>
      </c>
      <c r="C263" s="34">
        <v>1509500118</v>
      </c>
      <c r="D263" s="34" t="s">
        <v>1383</v>
      </c>
      <c r="E263" s="34" t="s">
        <v>1387</v>
      </c>
      <c r="F263" s="34" t="s">
        <v>1385</v>
      </c>
      <c r="G263" s="34" t="s">
        <v>1297</v>
      </c>
      <c r="H263" s="38" t="s">
        <v>1391</v>
      </c>
      <c r="I263" s="34" t="s">
        <v>1292</v>
      </c>
      <c r="J263" s="34" t="s">
        <v>1295</v>
      </c>
      <c r="K263" s="43">
        <v>46085</v>
      </c>
      <c r="L263" s="46" t="s">
        <v>1392</v>
      </c>
    </row>
    <row r="264" spans="1:12" x14ac:dyDescent="0.25">
      <c r="A264" s="34">
        <v>263</v>
      </c>
      <c r="B264" s="34" t="s">
        <v>265</v>
      </c>
      <c r="C264" s="34">
        <v>1501700160</v>
      </c>
      <c r="D264" s="34" t="s">
        <v>1383</v>
      </c>
      <c r="E264" s="34" t="s">
        <v>1387</v>
      </c>
      <c r="F264" s="34" t="s">
        <v>1385</v>
      </c>
      <c r="G264" s="34" t="s">
        <v>1297</v>
      </c>
      <c r="H264" s="38" t="s">
        <v>1391</v>
      </c>
      <c r="I264" s="34" t="s">
        <v>1292</v>
      </c>
      <c r="J264" s="34" t="s">
        <v>1293</v>
      </c>
      <c r="K264" s="43">
        <v>46085</v>
      </c>
      <c r="L264" s="46" t="s">
        <v>1392</v>
      </c>
    </row>
    <row r="265" spans="1:12" x14ac:dyDescent="0.25">
      <c r="A265" s="34">
        <v>264</v>
      </c>
      <c r="B265" s="34" t="s">
        <v>266</v>
      </c>
      <c r="C265" s="34">
        <v>28025120</v>
      </c>
      <c r="D265" s="34" t="s">
        <v>1383</v>
      </c>
      <c r="E265" s="34" t="s">
        <v>1568</v>
      </c>
      <c r="F265" s="34" t="s">
        <v>1389</v>
      </c>
      <c r="G265" s="38" t="s">
        <v>1297</v>
      </c>
      <c r="H265" s="38" t="s">
        <v>1391</v>
      </c>
      <c r="I265" s="34" t="s">
        <v>1292</v>
      </c>
      <c r="J265" s="34" t="s">
        <v>1295</v>
      </c>
      <c r="K265" s="43">
        <v>46085</v>
      </c>
      <c r="L265" s="46" t="s">
        <v>1392</v>
      </c>
    </row>
    <row r="266" spans="1:12" x14ac:dyDescent="0.25">
      <c r="A266" s="34">
        <v>265</v>
      </c>
      <c r="B266" s="34" t="s">
        <v>267</v>
      </c>
      <c r="C266" s="34">
        <v>15015060</v>
      </c>
      <c r="D266" s="34" t="s">
        <v>1383</v>
      </c>
      <c r="E266" s="34" t="s">
        <v>1387</v>
      </c>
      <c r="F266" s="34" t="s">
        <v>1385</v>
      </c>
      <c r="G266" s="38" t="s">
        <v>1297</v>
      </c>
      <c r="H266" s="38" t="s">
        <v>1391</v>
      </c>
      <c r="I266" s="34" t="s">
        <v>1292</v>
      </c>
      <c r="J266" s="34" t="s">
        <v>1295</v>
      </c>
      <c r="K266" s="43">
        <v>46085</v>
      </c>
      <c r="L266" s="46" t="s">
        <v>1392</v>
      </c>
    </row>
    <row r="267" spans="1:12" x14ac:dyDescent="0.25">
      <c r="A267" s="34">
        <v>266</v>
      </c>
      <c r="B267" s="34" t="s">
        <v>268</v>
      </c>
      <c r="C267" s="34">
        <v>35075080</v>
      </c>
      <c r="D267" s="34" t="s">
        <v>1397</v>
      </c>
      <c r="E267" s="34" t="s">
        <v>1569</v>
      </c>
      <c r="F267" s="34" t="s">
        <v>1399</v>
      </c>
      <c r="G267" s="34" t="s">
        <v>1297</v>
      </c>
      <c r="H267" s="34" t="s">
        <v>1391</v>
      </c>
      <c r="I267" s="34" t="s">
        <v>1292</v>
      </c>
      <c r="J267" s="34" t="s">
        <v>1295</v>
      </c>
      <c r="K267" s="44">
        <v>46114</v>
      </c>
      <c r="L267" s="46" t="s">
        <v>1392</v>
      </c>
    </row>
    <row r="268" spans="1:12" x14ac:dyDescent="0.25">
      <c r="A268" s="38">
        <v>267</v>
      </c>
      <c r="B268" s="35" t="s">
        <v>269</v>
      </c>
      <c r="C268" s="34">
        <v>23125160</v>
      </c>
      <c r="D268" s="34" t="s">
        <v>1397</v>
      </c>
      <c r="E268" s="34" t="s">
        <v>1570</v>
      </c>
      <c r="F268" s="34" t="s">
        <v>1399</v>
      </c>
      <c r="G268" s="36" t="s">
        <v>1290</v>
      </c>
      <c r="H268" s="38" t="s">
        <v>1291</v>
      </c>
      <c r="I268" s="34" t="s">
        <v>1292</v>
      </c>
      <c r="J268" s="34" t="s">
        <v>1295</v>
      </c>
      <c r="K268" s="44"/>
      <c r="L268" s="34" t="s">
        <v>1571</v>
      </c>
    </row>
    <row r="269" spans="1:12" x14ac:dyDescent="0.25">
      <c r="A269" s="34">
        <v>268</v>
      </c>
      <c r="B269" s="35" t="s">
        <v>270</v>
      </c>
      <c r="C269" s="34">
        <v>36015020</v>
      </c>
      <c r="D269" s="34" t="s">
        <v>1397</v>
      </c>
      <c r="E269" s="34" t="s">
        <v>1572</v>
      </c>
      <c r="F269" s="34" t="s">
        <v>1410</v>
      </c>
      <c r="G269" s="36" t="s">
        <v>1290</v>
      </c>
      <c r="H269" s="38" t="s">
        <v>1291</v>
      </c>
      <c r="I269" s="34" t="s">
        <v>1292</v>
      </c>
      <c r="J269" s="34" t="s">
        <v>1295</v>
      </c>
      <c r="K269" s="44"/>
      <c r="L269" s="34"/>
    </row>
    <row r="270" spans="1:12" x14ac:dyDescent="0.25">
      <c r="A270" s="34">
        <v>269</v>
      </c>
      <c r="B270" s="35" t="s">
        <v>271</v>
      </c>
      <c r="C270" s="34">
        <v>2403500083</v>
      </c>
      <c r="D270" s="34" t="s">
        <v>1397</v>
      </c>
      <c r="E270" s="34" t="s">
        <v>1573</v>
      </c>
      <c r="F270" s="34" t="s">
        <v>1399</v>
      </c>
      <c r="G270" s="36" t="s">
        <v>1290</v>
      </c>
      <c r="H270" s="38" t="s">
        <v>1291</v>
      </c>
      <c r="I270" s="34" t="s">
        <v>1292</v>
      </c>
      <c r="J270" s="34" t="s">
        <v>1295</v>
      </c>
      <c r="K270" s="44"/>
      <c r="L270" s="34"/>
    </row>
    <row r="271" spans="1:12" x14ac:dyDescent="0.25">
      <c r="A271" s="34">
        <v>270</v>
      </c>
      <c r="B271" s="34" t="s">
        <v>272</v>
      </c>
      <c r="C271" s="34">
        <v>2403500085</v>
      </c>
      <c r="D271" s="34" t="s">
        <v>1397</v>
      </c>
      <c r="E271" s="34" t="s">
        <v>1574</v>
      </c>
      <c r="F271" s="34" t="s">
        <v>1446</v>
      </c>
      <c r="G271" s="34" t="s">
        <v>1297</v>
      </c>
      <c r="H271" s="34" t="s">
        <v>1391</v>
      </c>
      <c r="I271" s="34" t="s">
        <v>1292</v>
      </c>
      <c r="J271" s="34" t="s">
        <v>1295</v>
      </c>
      <c r="K271" s="44">
        <v>46114</v>
      </c>
      <c r="L271" s="46" t="s">
        <v>1392</v>
      </c>
    </row>
    <row r="272" spans="1:12" x14ac:dyDescent="0.25">
      <c r="A272" s="34">
        <v>271</v>
      </c>
      <c r="B272" s="35" t="s">
        <v>273</v>
      </c>
      <c r="C272">
        <v>2403500082</v>
      </c>
      <c r="D272" s="34" t="s">
        <v>1397</v>
      </c>
      <c r="E272" s="34" t="s">
        <v>1575</v>
      </c>
      <c r="F272" s="34" t="s">
        <v>1399</v>
      </c>
      <c r="G272" s="36" t="s">
        <v>1290</v>
      </c>
      <c r="H272" s="38" t="s">
        <v>1291</v>
      </c>
      <c r="I272" s="34" t="s">
        <v>1292</v>
      </c>
      <c r="J272" s="34" t="s">
        <v>1295</v>
      </c>
      <c r="K272" s="44"/>
      <c r="L272" s="43"/>
    </row>
    <row r="273" spans="1:12" x14ac:dyDescent="0.25">
      <c r="A273" s="34">
        <v>272</v>
      </c>
      <c r="B273" s="35" t="s">
        <v>274</v>
      </c>
      <c r="C273" s="34">
        <v>2403500084</v>
      </c>
      <c r="D273" s="34" t="s">
        <v>1397</v>
      </c>
      <c r="E273" s="34" t="s">
        <v>1576</v>
      </c>
      <c r="F273" s="34" t="s">
        <v>1399</v>
      </c>
      <c r="G273" s="36" t="s">
        <v>1290</v>
      </c>
      <c r="H273" s="38" t="s">
        <v>1291</v>
      </c>
      <c r="I273" s="34" t="s">
        <v>1292</v>
      </c>
      <c r="J273" s="34" t="s">
        <v>1295</v>
      </c>
      <c r="K273" s="44"/>
      <c r="L273" s="34"/>
    </row>
    <row r="274" spans="1:12" x14ac:dyDescent="0.25">
      <c r="A274" s="34">
        <v>273</v>
      </c>
      <c r="B274" s="35" t="s">
        <v>275</v>
      </c>
      <c r="C274" s="34">
        <v>3507500046</v>
      </c>
      <c r="D274" s="34" t="s">
        <v>1397</v>
      </c>
      <c r="E274" s="34" t="s">
        <v>1577</v>
      </c>
      <c r="F274" s="34" t="s">
        <v>1399</v>
      </c>
      <c r="G274" s="36" t="s">
        <v>1290</v>
      </c>
      <c r="H274" s="38" t="s">
        <v>1291</v>
      </c>
      <c r="I274" s="34" t="s">
        <v>1292</v>
      </c>
      <c r="J274" s="34" t="s">
        <v>1295</v>
      </c>
      <c r="K274" s="44"/>
      <c r="L274" s="34"/>
    </row>
    <row r="275" spans="1:12" x14ac:dyDescent="0.25">
      <c r="A275" s="38">
        <v>274</v>
      </c>
      <c r="B275" s="35" t="s">
        <v>276</v>
      </c>
      <c r="C275" s="34">
        <v>3518500127</v>
      </c>
      <c r="D275" s="34" t="s">
        <v>1397</v>
      </c>
      <c r="E275" s="34" t="s">
        <v>1578</v>
      </c>
      <c r="F275" s="34" t="s">
        <v>1410</v>
      </c>
      <c r="G275" s="36" t="s">
        <v>1290</v>
      </c>
      <c r="H275" s="34" t="s">
        <v>1300</v>
      </c>
      <c r="I275" s="34" t="s">
        <v>1292</v>
      </c>
      <c r="J275" s="34" t="s">
        <v>1295</v>
      </c>
      <c r="K275" s="44"/>
      <c r="L275" s="34"/>
    </row>
    <row r="276" spans="1:12" x14ac:dyDescent="0.25">
      <c r="A276" s="34">
        <v>275</v>
      </c>
      <c r="B276" s="35" t="s">
        <v>277</v>
      </c>
      <c r="C276" s="34">
        <v>3518700145</v>
      </c>
      <c r="D276" s="34" t="s">
        <v>1397</v>
      </c>
      <c r="E276" s="34" t="s">
        <v>1578</v>
      </c>
      <c r="F276" s="34" t="s">
        <v>1410</v>
      </c>
      <c r="G276" s="36" t="s">
        <v>1290</v>
      </c>
      <c r="H276" s="38" t="s">
        <v>1291</v>
      </c>
      <c r="I276" s="34" t="s">
        <v>1292</v>
      </c>
      <c r="J276" s="34" t="s">
        <v>1293</v>
      </c>
      <c r="K276" s="44"/>
      <c r="L276" s="43"/>
    </row>
    <row r="277" spans="1:12" x14ac:dyDescent="0.25">
      <c r="A277" s="34">
        <v>276</v>
      </c>
      <c r="B277" s="35" t="s">
        <v>278</v>
      </c>
      <c r="C277" s="34">
        <v>24037490</v>
      </c>
      <c r="D277" s="34" t="s">
        <v>1397</v>
      </c>
      <c r="E277" s="34" t="s">
        <v>1579</v>
      </c>
      <c r="F277" s="34" t="s">
        <v>1399</v>
      </c>
      <c r="G277" s="36" t="s">
        <v>1290</v>
      </c>
      <c r="H277" s="38" t="s">
        <v>1291</v>
      </c>
      <c r="I277" s="34" t="s">
        <v>1292</v>
      </c>
      <c r="J277" s="34" t="s">
        <v>1328</v>
      </c>
      <c r="K277" s="44"/>
      <c r="L277" s="34"/>
    </row>
    <row r="278" spans="1:12" x14ac:dyDescent="0.25">
      <c r="A278" s="34">
        <v>277</v>
      </c>
      <c r="B278" s="35" t="s">
        <v>279</v>
      </c>
      <c r="C278" s="34">
        <v>24037080</v>
      </c>
      <c r="D278" s="34" t="s">
        <v>1397</v>
      </c>
      <c r="E278" s="34" t="s">
        <v>1573</v>
      </c>
      <c r="F278" s="34" t="s">
        <v>1399</v>
      </c>
      <c r="G278" s="36" t="s">
        <v>1290</v>
      </c>
      <c r="H278" s="38" t="s">
        <v>1291</v>
      </c>
      <c r="I278" s="34" t="s">
        <v>1292</v>
      </c>
      <c r="J278" s="34" t="s">
        <v>1328</v>
      </c>
      <c r="K278" s="44"/>
      <c r="L278" s="34"/>
    </row>
    <row r="279" spans="1:12" x14ac:dyDescent="0.25">
      <c r="A279" s="34">
        <v>278</v>
      </c>
      <c r="B279" s="35" t="s">
        <v>280</v>
      </c>
      <c r="C279" s="34">
        <v>24025030</v>
      </c>
      <c r="D279" s="34" t="s">
        <v>1397</v>
      </c>
      <c r="E279" s="34" t="s">
        <v>1413</v>
      </c>
      <c r="F279" s="34" t="s">
        <v>1399</v>
      </c>
      <c r="G279" s="36" t="s">
        <v>1290</v>
      </c>
      <c r="H279" s="38" t="s">
        <v>1291</v>
      </c>
      <c r="I279" s="34" t="s">
        <v>1292</v>
      </c>
      <c r="J279" s="34" t="s">
        <v>1295</v>
      </c>
      <c r="K279" s="44"/>
      <c r="L279" s="43"/>
    </row>
    <row r="280" spans="1:12" x14ac:dyDescent="0.25">
      <c r="A280" s="34">
        <v>279</v>
      </c>
      <c r="B280" s="34" t="s">
        <v>281</v>
      </c>
      <c r="C280" s="34">
        <v>24035380</v>
      </c>
      <c r="D280" s="34" t="s">
        <v>1397</v>
      </c>
      <c r="E280" s="34" t="s">
        <v>1580</v>
      </c>
      <c r="F280" s="34" t="s">
        <v>1399</v>
      </c>
      <c r="G280" s="34" t="s">
        <v>1297</v>
      </c>
      <c r="H280" s="34" t="s">
        <v>1391</v>
      </c>
      <c r="I280" s="34" t="s">
        <v>1292</v>
      </c>
      <c r="J280" s="34" t="s">
        <v>1295</v>
      </c>
      <c r="K280" s="44">
        <v>45990</v>
      </c>
      <c r="L280" s="46" t="s">
        <v>1392</v>
      </c>
    </row>
    <row r="281" spans="1:12" x14ac:dyDescent="0.25">
      <c r="A281" s="34">
        <v>280</v>
      </c>
      <c r="B281" s="34" t="s">
        <v>282</v>
      </c>
      <c r="C281" s="34">
        <v>3507500133</v>
      </c>
      <c r="D281" s="34" t="s">
        <v>1397</v>
      </c>
      <c r="E281" s="34" t="s">
        <v>1399</v>
      </c>
      <c r="F281" s="34" t="s">
        <v>1399</v>
      </c>
      <c r="G281" s="34" t="s">
        <v>1297</v>
      </c>
      <c r="H281" s="34" t="s">
        <v>1391</v>
      </c>
      <c r="I281" s="34" t="s">
        <v>1292</v>
      </c>
      <c r="J281" s="34" t="s">
        <v>1295</v>
      </c>
      <c r="K281" s="44">
        <v>46057</v>
      </c>
      <c r="L281" s="46" t="s">
        <v>1392</v>
      </c>
    </row>
    <row r="282" spans="1:12" x14ac:dyDescent="0.25">
      <c r="A282" s="38">
        <v>281</v>
      </c>
      <c r="B282" s="35" t="s">
        <v>283</v>
      </c>
      <c r="C282" s="34">
        <v>52055150</v>
      </c>
      <c r="D282" s="34" t="s">
        <v>1421</v>
      </c>
      <c r="E282" s="34" t="s">
        <v>1581</v>
      </c>
      <c r="F282" s="34" t="s">
        <v>1423</v>
      </c>
      <c r="G282" s="36" t="s">
        <v>1290</v>
      </c>
      <c r="H282" s="38" t="s">
        <v>1291</v>
      </c>
      <c r="I282" s="34" t="s">
        <v>1292</v>
      </c>
      <c r="J282" s="34" t="s">
        <v>1295</v>
      </c>
      <c r="K282" s="44">
        <v>45840</v>
      </c>
      <c r="L282" s="47"/>
    </row>
    <row r="283" spans="1:12" x14ac:dyDescent="0.25">
      <c r="A283" s="34">
        <v>282</v>
      </c>
      <c r="B283" s="35" t="s">
        <v>284</v>
      </c>
      <c r="C283" s="34">
        <v>52047020</v>
      </c>
      <c r="D283" s="34" t="s">
        <v>1421</v>
      </c>
      <c r="E283" s="34" t="s">
        <v>1426</v>
      </c>
      <c r="F283" s="34" t="s">
        <v>1423</v>
      </c>
      <c r="G283" s="36" t="s">
        <v>1290</v>
      </c>
      <c r="H283" s="38" t="s">
        <v>1291</v>
      </c>
      <c r="I283" s="34" t="s">
        <v>1292</v>
      </c>
      <c r="J283" s="34" t="s">
        <v>1293</v>
      </c>
      <c r="K283" s="44"/>
      <c r="L283" s="67"/>
    </row>
    <row r="284" spans="1:12" x14ac:dyDescent="0.25">
      <c r="A284" s="34">
        <v>283</v>
      </c>
      <c r="B284" s="34" t="s">
        <v>285</v>
      </c>
      <c r="C284" s="34">
        <v>52017001</v>
      </c>
      <c r="D284" s="34" t="s">
        <v>1421</v>
      </c>
      <c r="E284" s="34" t="s">
        <v>1582</v>
      </c>
      <c r="F284" s="34" t="s">
        <v>1423</v>
      </c>
      <c r="G284" s="34" t="s">
        <v>1297</v>
      </c>
      <c r="H284" s="34" t="s">
        <v>1391</v>
      </c>
      <c r="I284" s="34" t="s">
        <v>1292</v>
      </c>
      <c r="J284" s="34" t="s">
        <v>1293</v>
      </c>
      <c r="K284" s="44">
        <v>46057</v>
      </c>
      <c r="L284" s="46" t="s">
        <v>1392</v>
      </c>
    </row>
    <row r="285" spans="1:12" x14ac:dyDescent="0.25">
      <c r="A285" s="34">
        <v>284</v>
      </c>
      <c r="B285" s="34" t="s">
        <v>286</v>
      </c>
      <c r="C285" s="34">
        <v>52020070</v>
      </c>
      <c r="D285" s="34" t="s">
        <v>1421</v>
      </c>
      <c r="E285" s="34" t="s">
        <v>1583</v>
      </c>
      <c r="F285" s="34" t="s">
        <v>1430</v>
      </c>
      <c r="G285" s="34" t="s">
        <v>1297</v>
      </c>
      <c r="H285" s="34" t="s">
        <v>1391</v>
      </c>
      <c r="I285" s="34" t="s">
        <v>1292</v>
      </c>
      <c r="J285" s="34" t="s">
        <v>1295</v>
      </c>
      <c r="K285" s="44">
        <v>46057</v>
      </c>
      <c r="L285" s="46" t="s">
        <v>1392</v>
      </c>
    </row>
    <row r="286" spans="1:12" x14ac:dyDescent="0.25">
      <c r="A286" s="34">
        <v>285</v>
      </c>
      <c r="B286" s="35" t="s">
        <v>287</v>
      </c>
      <c r="C286" s="34">
        <v>5102500128</v>
      </c>
      <c r="D286" s="34" t="s">
        <v>1421</v>
      </c>
      <c r="E286" s="34" t="s">
        <v>1438</v>
      </c>
      <c r="F286" s="34" t="s">
        <v>1423</v>
      </c>
      <c r="G286" s="34" t="s">
        <v>1297</v>
      </c>
      <c r="H286" s="34" t="s">
        <v>1300</v>
      </c>
      <c r="I286" s="34" t="s">
        <v>1292</v>
      </c>
      <c r="J286" s="34" t="s">
        <v>1295</v>
      </c>
      <c r="K286" s="44">
        <v>46334</v>
      </c>
      <c r="L286" s="34"/>
    </row>
    <row r="287" spans="1:12" x14ac:dyDescent="0.25">
      <c r="A287" s="34">
        <v>286</v>
      </c>
      <c r="B287" s="35" t="s">
        <v>288</v>
      </c>
      <c r="C287" s="34">
        <v>47017170</v>
      </c>
      <c r="D287" s="34" t="s">
        <v>1421</v>
      </c>
      <c r="E287" s="34" t="s">
        <v>1584</v>
      </c>
      <c r="F287" s="34" t="s">
        <v>1440</v>
      </c>
      <c r="G287" s="36" t="s">
        <v>1290</v>
      </c>
      <c r="H287" s="38" t="s">
        <v>1300</v>
      </c>
      <c r="I287" s="34" t="s">
        <v>1292</v>
      </c>
      <c r="J287" s="34" t="s">
        <v>1293</v>
      </c>
      <c r="K287" s="44" t="s">
        <v>1585</v>
      </c>
      <c r="L287" s="34"/>
    </row>
    <row r="288" spans="1:12" x14ac:dyDescent="0.25">
      <c r="A288" s="38">
        <v>287</v>
      </c>
      <c r="B288" s="35" t="s">
        <v>289</v>
      </c>
      <c r="C288" s="34">
        <v>53045040</v>
      </c>
      <c r="D288" s="34" t="s">
        <v>1421</v>
      </c>
      <c r="E288" s="34" t="s">
        <v>1586</v>
      </c>
      <c r="F288" s="34" t="s">
        <v>1430</v>
      </c>
      <c r="G288" s="36" t="s">
        <v>1290</v>
      </c>
      <c r="H288" s="38" t="s">
        <v>1291</v>
      </c>
      <c r="I288" s="34" t="s">
        <v>1292</v>
      </c>
      <c r="J288" s="34" t="s">
        <v>1295</v>
      </c>
      <c r="K288" s="44" t="s">
        <v>1587</v>
      </c>
      <c r="L288" s="34"/>
    </row>
    <row r="289" spans="1:12" x14ac:dyDescent="0.25">
      <c r="A289" s="34">
        <v>288</v>
      </c>
      <c r="B289" s="35" t="s">
        <v>290</v>
      </c>
      <c r="C289" s="34">
        <v>47017110</v>
      </c>
      <c r="D289" s="34" t="s">
        <v>1421</v>
      </c>
      <c r="E289" s="34" t="s">
        <v>1581</v>
      </c>
      <c r="F289" s="34" t="s">
        <v>1423</v>
      </c>
      <c r="G289" s="36" t="s">
        <v>1290</v>
      </c>
      <c r="H289" s="38" t="s">
        <v>1291</v>
      </c>
      <c r="I289" s="34" t="s">
        <v>1292</v>
      </c>
      <c r="J289" s="34" t="s">
        <v>1293</v>
      </c>
      <c r="K289" s="44"/>
      <c r="L289" s="34"/>
    </row>
    <row r="290" spans="1:12" x14ac:dyDescent="0.25">
      <c r="A290" s="34">
        <v>289</v>
      </c>
      <c r="B290" s="35" t="s">
        <v>291</v>
      </c>
      <c r="C290" s="34">
        <v>52055160</v>
      </c>
      <c r="D290" s="34" t="s">
        <v>1421</v>
      </c>
      <c r="E290" s="34" t="s">
        <v>1588</v>
      </c>
      <c r="F290" s="34" t="s">
        <v>1423</v>
      </c>
      <c r="G290" s="36" t="s">
        <v>1290</v>
      </c>
      <c r="H290" s="38" t="s">
        <v>1291</v>
      </c>
      <c r="I290" s="34" t="s">
        <v>1292</v>
      </c>
      <c r="J290" s="34" t="s">
        <v>1295</v>
      </c>
      <c r="K290" s="44" t="s">
        <v>1589</v>
      </c>
      <c r="L290" s="34" t="s">
        <v>1558</v>
      </c>
    </row>
    <row r="291" spans="1:12" x14ac:dyDescent="0.25">
      <c r="A291" s="34">
        <v>290</v>
      </c>
      <c r="B291" s="34" t="s">
        <v>292</v>
      </c>
      <c r="C291" s="34">
        <v>44017070</v>
      </c>
      <c r="D291" s="34" t="s">
        <v>1421</v>
      </c>
      <c r="E291" s="34" t="s">
        <v>1590</v>
      </c>
      <c r="F291" s="34" t="s">
        <v>1430</v>
      </c>
      <c r="G291" s="34" t="s">
        <v>1297</v>
      </c>
      <c r="H291" s="34" t="s">
        <v>1391</v>
      </c>
      <c r="I291" s="34" t="s">
        <v>1292</v>
      </c>
      <c r="J291" s="34" t="s">
        <v>1293</v>
      </c>
      <c r="K291" s="44">
        <v>46057</v>
      </c>
      <c r="L291" s="46" t="s">
        <v>1392</v>
      </c>
    </row>
    <row r="292" spans="1:12" x14ac:dyDescent="0.25">
      <c r="A292" s="34">
        <v>291</v>
      </c>
      <c r="B292" s="35" t="s">
        <v>293</v>
      </c>
      <c r="C292" s="34">
        <v>16027300</v>
      </c>
      <c r="D292" s="34" t="s">
        <v>1444</v>
      </c>
      <c r="E292" s="34" t="s">
        <v>1591</v>
      </c>
      <c r="F292" s="34" t="s">
        <v>1452</v>
      </c>
      <c r="G292" s="34" t="s">
        <v>1297</v>
      </c>
      <c r="H292" s="34" t="s">
        <v>1291</v>
      </c>
      <c r="I292" s="34" t="s">
        <v>1292</v>
      </c>
      <c r="J292" s="34" t="s">
        <v>1293</v>
      </c>
      <c r="K292" s="44">
        <v>46057</v>
      </c>
      <c r="L292" s="34"/>
    </row>
    <row r="293" spans="1:12" x14ac:dyDescent="0.25">
      <c r="A293" s="34">
        <v>292</v>
      </c>
      <c r="B293" s="34" t="s">
        <v>294</v>
      </c>
      <c r="C293" s="34">
        <v>24035390</v>
      </c>
      <c r="D293" s="34" t="s">
        <v>1444</v>
      </c>
      <c r="E293" s="34" t="s">
        <v>1592</v>
      </c>
      <c r="F293" s="34" t="s">
        <v>1446</v>
      </c>
      <c r="G293" s="34" t="s">
        <v>1297</v>
      </c>
      <c r="H293" s="34" t="s">
        <v>1391</v>
      </c>
      <c r="I293" s="34" t="s">
        <v>1292</v>
      </c>
      <c r="J293" s="34" t="s">
        <v>1295</v>
      </c>
      <c r="K293" s="44">
        <v>46057</v>
      </c>
      <c r="L293" s="46" t="s">
        <v>1392</v>
      </c>
    </row>
    <row r="294" spans="1:12" x14ac:dyDescent="0.25">
      <c r="A294" s="34">
        <v>293</v>
      </c>
      <c r="B294" s="34" t="s">
        <v>295</v>
      </c>
      <c r="C294" s="34">
        <v>37057020</v>
      </c>
      <c r="D294" s="34" t="s">
        <v>1444</v>
      </c>
      <c r="E294" s="34" t="s">
        <v>1593</v>
      </c>
      <c r="F294" s="34" t="s">
        <v>1416</v>
      </c>
      <c r="G294" s="34" t="s">
        <v>1344</v>
      </c>
      <c r="H294" s="64" t="s">
        <v>1345</v>
      </c>
      <c r="I294" s="34" t="s">
        <v>1292</v>
      </c>
      <c r="J294" s="34" t="s">
        <v>1293</v>
      </c>
      <c r="K294" s="44">
        <v>44799</v>
      </c>
      <c r="L294" s="38" t="s">
        <v>1468</v>
      </c>
    </row>
    <row r="295" spans="1:12" x14ac:dyDescent="0.25">
      <c r="A295" s="38">
        <v>294</v>
      </c>
      <c r="B295" s="34" t="s">
        <v>296</v>
      </c>
      <c r="C295" s="34">
        <v>24030950</v>
      </c>
      <c r="D295" s="34" t="s">
        <v>1444</v>
      </c>
      <c r="E295" s="34" t="s">
        <v>1594</v>
      </c>
      <c r="F295" s="34" t="s">
        <v>1446</v>
      </c>
      <c r="G295" s="62" t="s">
        <v>1297</v>
      </c>
      <c r="H295" s="62" t="s">
        <v>1391</v>
      </c>
      <c r="I295" s="62" t="s">
        <v>1292</v>
      </c>
      <c r="J295" s="34" t="s">
        <v>1320</v>
      </c>
      <c r="K295" s="44">
        <v>46057</v>
      </c>
      <c r="L295" s="46" t="s">
        <v>1392</v>
      </c>
    </row>
    <row r="296" spans="1:12" x14ac:dyDescent="0.25">
      <c r="A296" s="34">
        <v>295</v>
      </c>
      <c r="B296" s="59" t="s">
        <v>297</v>
      </c>
      <c r="C296" s="34">
        <v>16057040</v>
      </c>
      <c r="D296" s="34" t="s">
        <v>1444</v>
      </c>
      <c r="E296" s="34" t="s">
        <v>1595</v>
      </c>
      <c r="F296" s="63" t="s">
        <v>1452</v>
      </c>
      <c r="G296" s="38" t="s">
        <v>1344</v>
      </c>
      <c r="H296" s="60" t="s">
        <v>1558</v>
      </c>
      <c r="I296" s="64" t="s">
        <v>1292</v>
      </c>
      <c r="J296" s="65" t="s">
        <v>1293</v>
      </c>
      <c r="K296" s="44" t="s">
        <v>1596</v>
      </c>
      <c r="L296" s="61" t="s">
        <v>1558</v>
      </c>
    </row>
    <row r="297" spans="1:12" x14ac:dyDescent="0.25">
      <c r="A297" s="34">
        <v>296</v>
      </c>
      <c r="B297" s="35" t="s">
        <v>298</v>
      </c>
      <c r="C297" s="34">
        <v>37027010</v>
      </c>
      <c r="D297" s="34" t="s">
        <v>1444</v>
      </c>
      <c r="E297" s="34" t="s">
        <v>1461</v>
      </c>
      <c r="F297" s="34" t="s">
        <v>1452</v>
      </c>
      <c r="G297" s="49" t="s">
        <v>1344</v>
      </c>
      <c r="H297" s="60" t="s">
        <v>1558</v>
      </c>
      <c r="I297" s="49" t="s">
        <v>1292</v>
      </c>
      <c r="J297" s="34" t="s">
        <v>1293</v>
      </c>
      <c r="K297" s="44">
        <v>44326</v>
      </c>
      <c r="L297" s="43" t="s">
        <v>854</v>
      </c>
    </row>
    <row r="298" spans="1:12" x14ac:dyDescent="0.25">
      <c r="A298" s="34">
        <v>297</v>
      </c>
      <c r="B298" s="34" t="s">
        <v>299</v>
      </c>
      <c r="C298" s="34">
        <v>37017040</v>
      </c>
      <c r="D298" s="34" t="s">
        <v>1444</v>
      </c>
      <c r="E298" s="34" t="s">
        <v>1597</v>
      </c>
      <c r="F298" s="34" t="s">
        <v>1452</v>
      </c>
      <c r="G298" s="34" t="s">
        <v>1297</v>
      </c>
      <c r="H298" s="34" t="s">
        <v>1391</v>
      </c>
      <c r="I298" s="34" t="s">
        <v>1292</v>
      </c>
      <c r="J298" s="34" t="s">
        <v>1293</v>
      </c>
      <c r="K298" s="44">
        <v>46057</v>
      </c>
      <c r="L298" s="46" t="s">
        <v>1392</v>
      </c>
    </row>
    <row r="299" spans="1:12" x14ac:dyDescent="0.25">
      <c r="A299" s="34">
        <v>298</v>
      </c>
      <c r="B299" s="35" t="s">
        <v>300</v>
      </c>
      <c r="C299" s="34">
        <v>1602500063</v>
      </c>
      <c r="D299" s="34" t="s">
        <v>1444</v>
      </c>
      <c r="E299" s="34" t="s">
        <v>1598</v>
      </c>
      <c r="F299" s="34" t="s">
        <v>1452</v>
      </c>
      <c r="G299" s="36" t="s">
        <v>1290</v>
      </c>
      <c r="H299" s="34" t="s">
        <v>1291</v>
      </c>
      <c r="I299" s="34" t="s">
        <v>1292</v>
      </c>
      <c r="J299" s="34" t="s">
        <v>1295</v>
      </c>
      <c r="K299" s="44"/>
      <c r="L299" s="34"/>
    </row>
    <row r="300" spans="1:12" x14ac:dyDescent="0.25">
      <c r="A300" s="34">
        <v>299</v>
      </c>
      <c r="B300" s="34" t="s">
        <v>301</v>
      </c>
      <c r="C300" s="34">
        <v>2401700091</v>
      </c>
      <c r="D300" s="34" t="s">
        <v>1444</v>
      </c>
      <c r="E300" s="34" t="s">
        <v>1599</v>
      </c>
      <c r="F300" s="34" t="s">
        <v>1446</v>
      </c>
      <c r="G300" s="34" t="s">
        <v>1344</v>
      </c>
      <c r="H300" s="34" t="s">
        <v>1345</v>
      </c>
      <c r="I300" s="34" t="s">
        <v>1292</v>
      </c>
      <c r="J300" s="34" t="s">
        <v>1293</v>
      </c>
      <c r="K300" s="44" t="s">
        <v>1587</v>
      </c>
      <c r="L300" s="34" t="s">
        <v>1468</v>
      </c>
    </row>
    <row r="301" spans="1:12" x14ac:dyDescent="0.25">
      <c r="A301" s="34">
        <v>300</v>
      </c>
      <c r="B301" s="34" t="s">
        <v>302</v>
      </c>
      <c r="C301" s="34">
        <v>2319500137</v>
      </c>
      <c r="D301" s="34" t="s">
        <v>1444</v>
      </c>
      <c r="E301" s="34" t="s">
        <v>1600</v>
      </c>
      <c r="F301" s="34" t="s">
        <v>1446</v>
      </c>
      <c r="G301" s="34" t="s">
        <v>1297</v>
      </c>
      <c r="H301" s="34" t="s">
        <v>1391</v>
      </c>
      <c r="I301" s="34" t="s">
        <v>1292</v>
      </c>
      <c r="J301" s="34" t="s">
        <v>1295</v>
      </c>
      <c r="K301" s="44">
        <v>46057</v>
      </c>
      <c r="L301" s="46" t="s">
        <v>1392</v>
      </c>
    </row>
    <row r="302" spans="1:12" x14ac:dyDescent="0.25">
      <c r="A302" s="38">
        <v>301</v>
      </c>
      <c r="B302" s="34" t="s">
        <v>303</v>
      </c>
      <c r="C302" s="34">
        <v>3701500117</v>
      </c>
      <c r="D302" s="34" t="s">
        <v>1444</v>
      </c>
      <c r="E302" s="34" t="s">
        <v>1601</v>
      </c>
      <c r="F302" s="34" t="s">
        <v>1452</v>
      </c>
      <c r="G302" s="34" t="s">
        <v>1297</v>
      </c>
      <c r="H302" s="34" t="s">
        <v>1391</v>
      </c>
      <c r="I302" s="34" t="s">
        <v>1292</v>
      </c>
      <c r="J302" s="34" t="s">
        <v>1295</v>
      </c>
      <c r="K302" s="44">
        <v>46057</v>
      </c>
      <c r="L302" s="46" t="s">
        <v>1392</v>
      </c>
    </row>
    <row r="303" spans="1:12" x14ac:dyDescent="0.25">
      <c r="A303" s="34">
        <v>302</v>
      </c>
      <c r="B303" s="34" t="s">
        <v>304</v>
      </c>
      <c r="C303" s="34">
        <v>16027280</v>
      </c>
      <c r="D303" s="34" t="s">
        <v>1444</v>
      </c>
      <c r="E303" s="34" t="s">
        <v>1456</v>
      </c>
      <c r="F303" s="34" t="s">
        <v>1452</v>
      </c>
      <c r="G303" s="34" t="s">
        <v>1297</v>
      </c>
      <c r="H303" s="34" t="s">
        <v>1391</v>
      </c>
      <c r="I303" s="34" t="s">
        <v>1292</v>
      </c>
      <c r="J303" s="34" t="s">
        <v>1293</v>
      </c>
      <c r="K303" s="44">
        <v>46057</v>
      </c>
      <c r="L303" s="46" t="s">
        <v>1392</v>
      </c>
    </row>
    <row r="304" spans="1:12" x14ac:dyDescent="0.25">
      <c r="A304" s="34">
        <v>303</v>
      </c>
      <c r="B304" s="34" t="s">
        <v>305</v>
      </c>
      <c r="C304" s="34">
        <v>1605700152</v>
      </c>
      <c r="D304" s="34" t="s">
        <v>1444</v>
      </c>
      <c r="E304" s="34" t="s">
        <v>1472</v>
      </c>
      <c r="F304" s="34" t="s">
        <v>1452</v>
      </c>
      <c r="G304" s="34" t="s">
        <v>1344</v>
      </c>
      <c r="H304" s="68" t="s">
        <v>1345</v>
      </c>
      <c r="I304" s="34" t="s">
        <v>1292</v>
      </c>
      <c r="J304" s="34" t="s">
        <v>1293</v>
      </c>
      <c r="K304" s="44" t="s">
        <v>1587</v>
      </c>
      <c r="L304" s="34" t="s">
        <v>1468</v>
      </c>
    </row>
    <row r="305" spans="1:12" x14ac:dyDescent="0.25">
      <c r="A305" s="34">
        <v>304</v>
      </c>
      <c r="B305" s="34" t="s">
        <v>306</v>
      </c>
      <c r="C305" s="34">
        <v>16040050</v>
      </c>
      <c r="D305" s="34" t="s">
        <v>1444</v>
      </c>
      <c r="E305" s="34" t="s">
        <v>1602</v>
      </c>
      <c r="F305" s="34" t="s">
        <v>1452</v>
      </c>
      <c r="G305" s="34" t="s">
        <v>1297</v>
      </c>
      <c r="H305" s="34" t="s">
        <v>1391</v>
      </c>
      <c r="I305" s="34" t="s">
        <v>1292</v>
      </c>
      <c r="J305" s="34" t="s">
        <v>1295</v>
      </c>
      <c r="K305" s="44">
        <v>46057</v>
      </c>
      <c r="L305" s="46" t="s">
        <v>1392</v>
      </c>
    </row>
    <row r="306" spans="1:12" x14ac:dyDescent="0.25">
      <c r="A306" s="34">
        <v>305</v>
      </c>
      <c r="B306" s="35" t="s">
        <v>307</v>
      </c>
      <c r="C306" s="34">
        <v>16015130</v>
      </c>
      <c r="D306" s="34" t="s">
        <v>1444</v>
      </c>
      <c r="E306" s="34" t="s">
        <v>1603</v>
      </c>
      <c r="F306" s="34" t="s">
        <v>1452</v>
      </c>
      <c r="G306" s="36" t="s">
        <v>1290</v>
      </c>
      <c r="H306" s="34" t="s">
        <v>1291</v>
      </c>
      <c r="I306" s="34" t="s">
        <v>1292</v>
      </c>
      <c r="J306" s="34" t="s">
        <v>1295</v>
      </c>
      <c r="K306" s="44" t="s">
        <v>1587</v>
      </c>
      <c r="L306" s="34" t="s">
        <v>1558</v>
      </c>
    </row>
    <row r="307" spans="1:12" x14ac:dyDescent="0.25">
      <c r="A307" s="34">
        <v>306</v>
      </c>
      <c r="B307" s="34" t="s">
        <v>308</v>
      </c>
      <c r="C307" s="34">
        <v>24030680</v>
      </c>
      <c r="D307" s="34" t="s">
        <v>1444</v>
      </c>
      <c r="E307" s="34" t="s">
        <v>1604</v>
      </c>
      <c r="F307" s="34" t="s">
        <v>1446</v>
      </c>
      <c r="G307" s="34" t="s">
        <v>1297</v>
      </c>
      <c r="H307" s="34" t="s">
        <v>1391</v>
      </c>
      <c r="I307" s="34" t="s">
        <v>1292</v>
      </c>
      <c r="J307" s="34" t="s">
        <v>1295</v>
      </c>
      <c r="K307" s="44">
        <v>46057</v>
      </c>
      <c r="L307" s="46" t="s">
        <v>1392</v>
      </c>
    </row>
    <row r="308" spans="1:12" ht="25.5" x14ac:dyDescent="0.25">
      <c r="A308" s="38">
        <v>307</v>
      </c>
      <c r="B308" s="34" t="s">
        <v>309</v>
      </c>
      <c r="C308" s="34">
        <v>26095320</v>
      </c>
      <c r="D308" s="35" t="s">
        <v>1473</v>
      </c>
      <c r="E308" s="35" t="s">
        <v>1475</v>
      </c>
      <c r="F308" s="35" t="s">
        <v>1476</v>
      </c>
      <c r="G308" s="40" t="s">
        <v>1307</v>
      </c>
      <c r="H308" s="58" t="s">
        <v>1308</v>
      </c>
      <c r="I308" s="35" t="s">
        <v>1309</v>
      </c>
      <c r="J308" s="35" t="s">
        <v>1315</v>
      </c>
      <c r="K308" s="45" t="s">
        <v>1605</v>
      </c>
      <c r="L308" s="69" t="s">
        <v>1310</v>
      </c>
    </row>
    <row r="309" spans="1:12" x14ac:dyDescent="0.25">
      <c r="A309" s="34">
        <v>308</v>
      </c>
      <c r="B309" s="34" t="s">
        <v>310</v>
      </c>
      <c r="C309" s="34">
        <v>26135320</v>
      </c>
      <c r="D309" s="34" t="s">
        <v>1473</v>
      </c>
      <c r="E309" s="34" t="s">
        <v>1606</v>
      </c>
      <c r="F309" s="34" t="s">
        <v>1485</v>
      </c>
      <c r="G309" s="34" t="s">
        <v>1297</v>
      </c>
      <c r="H309" s="34" t="s">
        <v>1391</v>
      </c>
      <c r="I309" s="34" t="s">
        <v>1292</v>
      </c>
      <c r="J309" s="34" t="s">
        <v>1295</v>
      </c>
      <c r="K309" s="44">
        <v>46085</v>
      </c>
      <c r="L309" s="46" t="s">
        <v>1392</v>
      </c>
    </row>
    <row r="310" spans="1:12" x14ac:dyDescent="0.25">
      <c r="A310" s="34">
        <v>309</v>
      </c>
      <c r="B310" s="35" t="s">
        <v>311</v>
      </c>
      <c r="C310" s="34">
        <v>26135300</v>
      </c>
      <c r="D310" s="34" t="s">
        <v>1473</v>
      </c>
      <c r="E310" s="34" t="s">
        <v>1607</v>
      </c>
      <c r="F310" s="34" t="s">
        <v>1491</v>
      </c>
      <c r="G310" s="36" t="s">
        <v>1290</v>
      </c>
      <c r="H310" s="34" t="s">
        <v>1291</v>
      </c>
      <c r="I310" s="34" t="s">
        <v>1292</v>
      </c>
      <c r="J310" s="34" t="s">
        <v>1315</v>
      </c>
      <c r="K310" s="44"/>
      <c r="L310" s="43"/>
    </row>
    <row r="311" spans="1:12" x14ac:dyDescent="0.25">
      <c r="A311" s="34">
        <v>310</v>
      </c>
      <c r="B311" s="34" t="s">
        <v>312</v>
      </c>
      <c r="C311" s="34">
        <v>26155240</v>
      </c>
      <c r="D311" s="34" t="s">
        <v>1473</v>
      </c>
      <c r="E311" s="34" t="s">
        <v>1606</v>
      </c>
      <c r="F311" s="34" t="s">
        <v>1485</v>
      </c>
      <c r="G311" s="34" t="s">
        <v>1297</v>
      </c>
      <c r="H311" s="34" t="s">
        <v>1391</v>
      </c>
      <c r="I311" s="34" t="s">
        <v>1292</v>
      </c>
      <c r="J311" s="34" t="s">
        <v>1295</v>
      </c>
      <c r="K311" s="44">
        <v>46085</v>
      </c>
      <c r="L311" s="46" t="s">
        <v>1392</v>
      </c>
    </row>
    <row r="312" spans="1:12" x14ac:dyDescent="0.25">
      <c r="A312" s="34">
        <v>311</v>
      </c>
      <c r="B312" s="34" t="s">
        <v>313</v>
      </c>
      <c r="C312" s="34">
        <v>26145090</v>
      </c>
      <c r="D312" s="34" t="s">
        <v>1473</v>
      </c>
      <c r="E312" s="34" t="s">
        <v>1608</v>
      </c>
      <c r="F312" s="34" t="s">
        <v>1491</v>
      </c>
      <c r="G312" s="34" t="s">
        <v>1297</v>
      </c>
      <c r="H312" s="34" t="s">
        <v>1391</v>
      </c>
      <c r="I312" s="34" t="s">
        <v>1292</v>
      </c>
      <c r="J312" s="34" t="s">
        <v>1295</v>
      </c>
      <c r="K312" s="44">
        <v>46057</v>
      </c>
      <c r="L312" s="46" t="s">
        <v>1392</v>
      </c>
    </row>
    <row r="313" spans="1:12" x14ac:dyDescent="0.25">
      <c r="A313" s="34">
        <v>312</v>
      </c>
      <c r="B313" s="35" t="s">
        <v>314</v>
      </c>
      <c r="C313" s="34">
        <v>54017040</v>
      </c>
      <c r="D313" s="34" t="s">
        <v>1473</v>
      </c>
      <c r="E313" s="34" t="s">
        <v>1609</v>
      </c>
      <c r="F313" s="34" t="s">
        <v>1303</v>
      </c>
      <c r="G313" s="36" t="s">
        <v>1290</v>
      </c>
      <c r="H313" s="34" t="s">
        <v>1291</v>
      </c>
      <c r="I313" s="34" t="s">
        <v>1292</v>
      </c>
      <c r="J313" s="34" t="s">
        <v>1293</v>
      </c>
      <c r="K313" s="44"/>
      <c r="L313" s="43"/>
    </row>
    <row r="314" spans="1:12" x14ac:dyDescent="0.25">
      <c r="A314" s="34">
        <v>313</v>
      </c>
      <c r="B314" s="34" t="s">
        <v>315</v>
      </c>
      <c r="C314" s="34">
        <v>26157200</v>
      </c>
      <c r="D314" s="34" t="s">
        <v>1473</v>
      </c>
      <c r="E314" s="34" t="s">
        <v>1606</v>
      </c>
      <c r="F314" s="34" t="s">
        <v>1485</v>
      </c>
      <c r="G314" s="34" t="s">
        <v>1297</v>
      </c>
      <c r="H314" s="34" t="s">
        <v>1391</v>
      </c>
      <c r="I314" s="34" t="s">
        <v>1292</v>
      </c>
      <c r="J314" s="34" t="s">
        <v>1293</v>
      </c>
      <c r="K314" s="44">
        <v>46085</v>
      </c>
      <c r="L314" s="46" t="s">
        <v>1392</v>
      </c>
    </row>
    <row r="315" spans="1:12" x14ac:dyDescent="0.25">
      <c r="A315" s="38">
        <v>314</v>
      </c>
      <c r="B315" s="34" t="s">
        <v>316</v>
      </c>
      <c r="C315" s="34">
        <v>26015050</v>
      </c>
      <c r="D315" s="34" t="s">
        <v>1473</v>
      </c>
      <c r="E315" s="34" t="s">
        <v>1610</v>
      </c>
      <c r="F315" s="34" t="s">
        <v>1430</v>
      </c>
      <c r="G315" s="34" t="s">
        <v>1297</v>
      </c>
      <c r="H315" s="34" t="s">
        <v>1391</v>
      </c>
      <c r="I315" s="34" t="s">
        <v>1292</v>
      </c>
      <c r="J315" s="34" t="s">
        <v>1295</v>
      </c>
      <c r="K315" s="44">
        <v>46085</v>
      </c>
      <c r="L315" s="46" t="s">
        <v>1392</v>
      </c>
    </row>
    <row r="316" spans="1:12" x14ac:dyDescent="0.25">
      <c r="A316" s="34">
        <v>315</v>
      </c>
      <c r="B316" s="35" t="s">
        <v>317</v>
      </c>
      <c r="C316" s="34">
        <v>26055110</v>
      </c>
      <c r="D316" s="34" t="s">
        <v>1473</v>
      </c>
      <c r="E316" s="34" t="s">
        <v>1611</v>
      </c>
      <c r="F316" s="34" t="s">
        <v>1476</v>
      </c>
      <c r="G316" s="36" t="s">
        <v>1290</v>
      </c>
      <c r="H316" s="34" t="s">
        <v>1291</v>
      </c>
      <c r="I316" s="34" t="s">
        <v>1292</v>
      </c>
      <c r="J316" s="34" t="s">
        <v>1315</v>
      </c>
      <c r="K316" s="44"/>
      <c r="L316" s="43"/>
    </row>
    <row r="317" spans="1:12" x14ac:dyDescent="0.25">
      <c r="A317" s="34">
        <v>316</v>
      </c>
      <c r="B317" s="34" t="s">
        <v>318</v>
      </c>
      <c r="C317" s="34">
        <v>54015010</v>
      </c>
      <c r="D317" s="34" t="s">
        <v>1473</v>
      </c>
      <c r="E317" s="34" t="s">
        <v>1612</v>
      </c>
      <c r="F317" s="34" t="s">
        <v>1491</v>
      </c>
      <c r="G317" s="34" t="s">
        <v>1297</v>
      </c>
      <c r="H317" s="34" t="s">
        <v>1391</v>
      </c>
      <c r="I317" s="34" t="s">
        <v>1292</v>
      </c>
      <c r="J317" s="34" t="s">
        <v>1334</v>
      </c>
      <c r="K317" s="44" t="s">
        <v>1613</v>
      </c>
      <c r="L317" s="46" t="s">
        <v>1392</v>
      </c>
    </row>
    <row r="318" spans="1:12" ht="25.5" x14ac:dyDescent="0.25">
      <c r="A318" s="34">
        <v>317</v>
      </c>
      <c r="B318" s="35" t="s">
        <v>319</v>
      </c>
      <c r="C318" s="34">
        <v>26157170</v>
      </c>
      <c r="D318" s="35" t="s">
        <v>1473</v>
      </c>
      <c r="E318" s="35" t="s">
        <v>1606</v>
      </c>
      <c r="F318" s="35" t="s">
        <v>1485</v>
      </c>
      <c r="G318" s="40" t="s">
        <v>1307</v>
      </c>
      <c r="H318" s="38" t="s">
        <v>1308</v>
      </c>
      <c r="I318" s="35" t="s">
        <v>1309</v>
      </c>
      <c r="J318" s="35" t="s">
        <v>1293</v>
      </c>
      <c r="K318" s="45">
        <v>45002</v>
      </c>
      <c r="L318" s="42" t="s">
        <v>1310</v>
      </c>
    </row>
    <row r="319" spans="1:12" x14ac:dyDescent="0.25">
      <c r="A319" s="34">
        <v>318</v>
      </c>
      <c r="B319" s="35" t="s">
        <v>320</v>
      </c>
      <c r="C319" s="34">
        <v>2601700104</v>
      </c>
      <c r="D319" s="34" t="s">
        <v>1473</v>
      </c>
      <c r="E319" s="34" t="s">
        <v>1474</v>
      </c>
      <c r="F319" s="34" t="s">
        <v>1430</v>
      </c>
      <c r="G319" s="34" t="s">
        <v>1297</v>
      </c>
      <c r="H319" s="34" t="s">
        <v>1291</v>
      </c>
      <c r="I319" s="34" t="s">
        <v>1292</v>
      </c>
      <c r="J319" s="34" t="s">
        <v>1293</v>
      </c>
      <c r="K319" s="44" t="s">
        <v>1614</v>
      </c>
      <c r="L319" s="43"/>
    </row>
    <row r="320" spans="1:12" x14ac:dyDescent="0.25">
      <c r="A320" s="34">
        <v>319</v>
      </c>
      <c r="B320" s="35" t="s">
        <v>321</v>
      </c>
      <c r="C320" s="34">
        <v>2615500122</v>
      </c>
      <c r="D320" s="34" t="s">
        <v>1473</v>
      </c>
      <c r="E320" s="34" t="s">
        <v>1484</v>
      </c>
      <c r="F320" s="34" t="s">
        <v>1485</v>
      </c>
      <c r="G320" s="36" t="s">
        <v>1290</v>
      </c>
      <c r="H320" s="34" t="s">
        <v>1291</v>
      </c>
      <c r="I320" s="34" t="s">
        <v>1292</v>
      </c>
      <c r="J320" s="34" t="s">
        <v>1295</v>
      </c>
      <c r="K320" s="44"/>
      <c r="L320" s="43"/>
    </row>
    <row r="321" spans="1:12" x14ac:dyDescent="0.25">
      <c r="A321" s="34">
        <v>320</v>
      </c>
      <c r="B321" s="34" t="s">
        <v>322</v>
      </c>
      <c r="C321" s="34">
        <v>5311700154</v>
      </c>
      <c r="D321" s="34" t="s">
        <v>1473</v>
      </c>
      <c r="E321" s="34" t="s">
        <v>1478</v>
      </c>
      <c r="F321" s="34" t="s">
        <v>1476</v>
      </c>
      <c r="G321" s="34" t="s">
        <v>1344</v>
      </c>
      <c r="H321" s="34" t="s">
        <v>1345</v>
      </c>
      <c r="I321" s="34" t="s">
        <v>1292</v>
      </c>
      <c r="J321" s="34" t="s">
        <v>1293</v>
      </c>
      <c r="K321" s="44">
        <v>44070</v>
      </c>
      <c r="L321" s="34" t="s">
        <v>1468</v>
      </c>
    </row>
    <row r="322" spans="1:12" x14ac:dyDescent="0.25">
      <c r="A322" s="34">
        <v>321</v>
      </c>
      <c r="B322" s="34" t="s">
        <v>323</v>
      </c>
      <c r="C322" s="34">
        <v>26017060</v>
      </c>
      <c r="D322" s="34" t="s">
        <v>1473</v>
      </c>
      <c r="E322" s="34" t="s">
        <v>1610</v>
      </c>
      <c r="F322" s="34" t="s">
        <v>1430</v>
      </c>
      <c r="G322" s="34" t="s">
        <v>1297</v>
      </c>
      <c r="H322" s="34" t="s">
        <v>1391</v>
      </c>
      <c r="I322" s="34" t="s">
        <v>1292</v>
      </c>
      <c r="J322" s="34" t="s">
        <v>1293</v>
      </c>
      <c r="K322" s="44">
        <v>46328</v>
      </c>
      <c r="L322" s="46" t="s">
        <v>1392</v>
      </c>
    </row>
    <row r="323" spans="1:12" x14ac:dyDescent="0.25">
      <c r="A323" s="34">
        <v>322</v>
      </c>
      <c r="B323" s="35" t="s">
        <v>324</v>
      </c>
      <c r="C323" s="34">
        <v>26137220</v>
      </c>
      <c r="D323" s="34" t="s">
        <v>1473</v>
      </c>
      <c r="E323" s="34" t="s">
        <v>1607</v>
      </c>
      <c r="F323" s="34" t="s">
        <v>1491</v>
      </c>
      <c r="G323" s="36" t="s">
        <v>1290</v>
      </c>
      <c r="H323" s="34" t="s">
        <v>1300</v>
      </c>
      <c r="I323" s="34" t="s">
        <v>1292</v>
      </c>
      <c r="J323" s="34" t="s">
        <v>1293</v>
      </c>
      <c r="K323" s="44"/>
      <c r="L323" s="43"/>
    </row>
    <row r="324" spans="1:12" x14ac:dyDescent="0.25">
      <c r="A324" s="34">
        <v>323</v>
      </c>
      <c r="B324" s="35" t="s">
        <v>325</v>
      </c>
      <c r="C324" s="34">
        <v>26105240</v>
      </c>
      <c r="D324" s="34" t="s">
        <v>1473</v>
      </c>
      <c r="E324" s="34" t="s">
        <v>1615</v>
      </c>
      <c r="F324" s="34" t="s">
        <v>1476</v>
      </c>
      <c r="G324" s="36" t="s">
        <v>1290</v>
      </c>
      <c r="H324" s="34" t="s">
        <v>1300</v>
      </c>
      <c r="I324" s="34" t="s">
        <v>1292</v>
      </c>
      <c r="J324" s="34" t="s">
        <v>1295</v>
      </c>
      <c r="K324" s="44"/>
      <c r="L324" s="43"/>
    </row>
    <row r="325" spans="1:12" x14ac:dyDescent="0.25">
      <c r="A325" s="38">
        <v>324</v>
      </c>
      <c r="B325" s="34" t="s">
        <v>326</v>
      </c>
      <c r="C325" s="34">
        <v>26135330</v>
      </c>
      <c r="D325" s="34" t="s">
        <v>1473</v>
      </c>
      <c r="E325" s="34" t="s">
        <v>1607</v>
      </c>
      <c r="F325" s="34" t="s">
        <v>1491</v>
      </c>
      <c r="G325" s="34" t="s">
        <v>1297</v>
      </c>
      <c r="H325" s="34" t="s">
        <v>1391</v>
      </c>
      <c r="I325" s="34" t="s">
        <v>1292</v>
      </c>
      <c r="J325" s="34" t="s">
        <v>1295</v>
      </c>
      <c r="K325" s="44">
        <v>46085</v>
      </c>
      <c r="L325" s="46" t="s">
        <v>1392</v>
      </c>
    </row>
    <row r="326" spans="1:12" x14ac:dyDescent="0.25">
      <c r="A326" s="34">
        <v>325</v>
      </c>
      <c r="B326" s="34" t="s">
        <v>327</v>
      </c>
      <c r="C326" s="34">
        <v>26155250</v>
      </c>
      <c r="D326" s="34" t="s">
        <v>1473</v>
      </c>
      <c r="E326" s="34" t="s">
        <v>1606</v>
      </c>
      <c r="F326" s="34" t="s">
        <v>1485</v>
      </c>
      <c r="G326" s="34" t="s">
        <v>1297</v>
      </c>
      <c r="H326" s="64" t="s">
        <v>1391</v>
      </c>
      <c r="I326" s="34" t="s">
        <v>1292</v>
      </c>
      <c r="J326" s="34" t="s">
        <v>1334</v>
      </c>
      <c r="K326" s="44">
        <v>46057</v>
      </c>
      <c r="L326" s="46" t="s">
        <v>1392</v>
      </c>
    </row>
    <row r="327" spans="1:12" x14ac:dyDescent="0.25">
      <c r="A327" s="34">
        <v>326</v>
      </c>
      <c r="B327" s="34" t="s">
        <v>328</v>
      </c>
      <c r="C327" s="34">
        <v>26155270</v>
      </c>
      <c r="D327" s="34" t="s">
        <v>1473</v>
      </c>
      <c r="E327" s="34" t="s">
        <v>1606</v>
      </c>
      <c r="F327" s="34" t="s">
        <v>1485</v>
      </c>
      <c r="G327" s="34" t="s">
        <v>1297</v>
      </c>
      <c r="H327" s="34" t="s">
        <v>1391</v>
      </c>
      <c r="I327" s="34" t="s">
        <v>1292</v>
      </c>
      <c r="J327" s="34" t="s">
        <v>1334</v>
      </c>
      <c r="K327" s="44">
        <v>46085</v>
      </c>
      <c r="L327" s="46" t="s">
        <v>1392</v>
      </c>
    </row>
    <row r="328" spans="1:12" x14ac:dyDescent="0.25">
      <c r="A328" s="34">
        <v>327</v>
      </c>
      <c r="B328" s="35" t="s">
        <v>329</v>
      </c>
      <c r="C328" s="34">
        <v>2611700158</v>
      </c>
      <c r="D328" s="34" t="s">
        <v>1473</v>
      </c>
      <c r="E328" s="34" t="s">
        <v>1616</v>
      </c>
      <c r="F328" s="34" t="s">
        <v>1476</v>
      </c>
      <c r="G328" s="70" t="s">
        <v>1290</v>
      </c>
      <c r="H328" s="62" t="s">
        <v>1291</v>
      </c>
      <c r="I328" s="62" t="s">
        <v>1292</v>
      </c>
      <c r="J328" s="34" t="s">
        <v>1293</v>
      </c>
      <c r="K328" s="44"/>
      <c r="L328" s="43"/>
    </row>
    <row r="329" spans="1:12" x14ac:dyDescent="0.25">
      <c r="A329" s="34">
        <v>328</v>
      </c>
      <c r="B329" s="59" t="s">
        <v>330</v>
      </c>
      <c r="C329" s="34">
        <v>52017100</v>
      </c>
      <c r="D329" s="34" t="s">
        <v>1421</v>
      </c>
      <c r="E329" s="34" t="s">
        <v>1617</v>
      </c>
      <c r="F329" s="63" t="s">
        <v>1430</v>
      </c>
      <c r="G329" s="64" t="s">
        <v>1344</v>
      </c>
      <c r="H329" s="60" t="s">
        <v>1558</v>
      </c>
      <c r="I329" s="64" t="s">
        <v>1292</v>
      </c>
      <c r="J329" s="65" t="s">
        <v>1293</v>
      </c>
      <c r="K329" s="44">
        <v>45729</v>
      </c>
      <c r="L329" s="61" t="s">
        <v>1558</v>
      </c>
    </row>
    <row r="330" spans="1:12" x14ac:dyDescent="0.25">
      <c r="A330" s="34">
        <v>329</v>
      </c>
      <c r="B330" s="35" t="s">
        <v>331</v>
      </c>
      <c r="C330" s="34">
        <v>26155150</v>
      </c>
      <c r="D330" s="34" t="s">
        <v>1473</v>
      </c>
      <c r="E330" s="34" t="s">
        <v>1606</v>
      </c>
      <c r="F330" s="34" t="s">
        <v>1485</v>
      </c>
      <c r="G330" s="71" t="s">
        <v>1290</v>
      </c>
      <c r="H330" s="49" t="s">
        <v>1291</v>
      </c>
      <c r="I330" s="49" t="s">
        <v>1292</v>
      </c>
      <c r="J330" s="34" t="s">
        <v>1295</v>
      </c>
      <c r="K330" s="44"/>
      <c r="L330" s="43"/>
    </row>
    <row r="331" spans="1:12" x14ac:dyDescent="0.25">
      <c r="A331" s="34">
        <v>330</v>
      </c>
      <c r="B331" s="34" t="s">
        <v>332</v>
      </c>
      <c r="C331" s="34">
        <v>26015030</v>
      </c>
      <c r="D331" s="34" t="s">
        <v>1473</v>
      </c>
      <c r="E331" s="34" t="s">
        <v>1610</v>
      </c>
      <c r="F331" s="34" t="s">
        <v>1430</v>
      </c>
      <c r="G331" s="34" t="s">
        <v>1297</v>
      </c>
      <c r="H331" s="34" t="s">
        <v>1391</v>
      </c>
      <c r="I331" s="34" t="s">
        <v>1292</v>
      </c>
      <c r="J331" s="34" t="s">
        <v>1295</v>
      </c>
      <c r="K331" s="44">
        <v>46085</v>
      </c>
      <c r="L331" s="46" t="s">
        <v>1392</v>
      </c>
    </row>
    <row r="332" spans="1:12" x14ac:dyDescent="0.25">
      <c r="A332" s="34">
        <v>331</v>
      </c>
      <c r="B332" s="34" t="s">
        <v>333</v>
      </c>
      <c r="C332" s="34">
        <v>21167080</v>
      </c>
      <c r="D332" s="34" t="s">
        <v>1502</v>
      </c>
      <c r="E332" s="34" t="s">
        <v>1618</v>
      </c>
      <c r="F332" s="34" t="s">
        <v>1504</v>
      </c>
      <c r="G332" s="34" t="s">
        <v>1297</v>
      </c>
      <c r="H332" s="34" t="s">
        <v>1391</v>
      </c>
      <c r="I332" s="34" t="s">
        <v>1292</v>
      </c>
      <c r="J332" s="34" t="s">
        <v>1293</v>
      </c>
      <c r="K332" s="44">
        <v>46057</v>
      </c>
      <c r="L332" s="46" t="s">
        <v>1392</v>
      </c>
    </row>
    <row r="333" spans="1:12" x14ac:dyDescent="0.25">
      <c r="A333" s="34">
        <v>332</v>
      </c>
      <c r="B333" s="34" t="s">
        <v>334</v>
      </c>
      <c r="C333" s="34">
        <v>22075050</v>
      </c>
      <c r="D333" s="34" t="s">
        <v>1502</v>
      </c>
      <c r="E333" s="34" t="s">
        <v>1619</v>
      </c>
      <c r="F333" s="34" t="s">
        <v>1504</v>
      </c>
      <c r="G333" s="34" t="s">
        <v>1297</v>
      </c>
      <c r="H333" s="34" t="s">
        <v>1391</v>
      </c>
      <c r="I333" s="34" t="s">
        <v>1292</v>
      </c>
      <c r="J333" s="34" t="s">
        <v>1295</v>
      </c>
      <c r="K333" s="44">
        <v>46057</v>
      </c>
      <c r="L333" s="46" t="s">
        <v>1392</v>
      </c>
    </row>
    <row r="334" spans="1:12" x14ac:dyDescent="0.25">
      <c r="A334" s="34">
        <v>333</v>
      </c>
      <c r="B334" s="34" t="s">
        <v>335</v>
      </c>
      <c r="C334" s="34">
        <v>22057010</v>
      </c>
      <c r="D334" s="34" t="s">
        <v>1502</v>
      </c>
      <c r="E334" s="34" t="s">
        <v>1620</v>
      </c>
      <c r="F334" s="34" t="s">
        <v>1504</v>
      </c>
      <c r="G334" s="34" t="s">
        <v>1297</v>
      </c>
      <c r="H334" s="34" t="s">
        <v>1391</v>
      </c>
      <c r="I334" s="34" t="s">
        <v>1292</v>
      </c>
      <c r="J334" s="34" t="s">
        <v>1293</v>
      </c>
      <c r="K334" s="44">
        <v>46057</v>
      </c>
      <c r="L334" s="46" t="s">
        <v>1392</v>
      </c>
    </row>
    <row r="335" spans="1:12" x14ac:dyDescent="0.25">
      <c r="A335" s="34">
        <v>334</v>
      </c>
      <c r="B335" s="34" t="s">
        <v>336</v>
      </c>
      <c r="C335" s="34">
        <v>21255160</v>
      </c>
      <c r="D335" s="34" t="s">
        <v>1502</v>
      </c>
      <c r="E335" s="34" t="s">
        <v>1621</v>
      </c>
      <c r="F335" s="34" t="s">
        <v>1504</v>
      </c>
      <c r="G335" s="34" t="s">
        <v>1297</v>
      </c>
      <c r="H335" s="34" t="s">
        <v>1391</v>
      </c>
      <c r="I335" s="34" t="s">
        <v>1292</v>
      </c>
      <c r="J335" s="34" t="s">
        <v>1315</v>
      </c>
      <c r="K335" s="44">
        <v>46057</v>
      </c>
      <c r="L335" s="46" t="s">
        <v>1392</v>
      </c>
    </row>
    <row r="336" spans="1:12" x14ac:dyDescent="0.25">
      <c r="A336" s="34">
        <v>335</v>
      </c>
      <c r="B336" s="34" t="s">
        <v>337</v>
      </c>
      <c r="C336" s="34">
        <v>23087210</v>
      </c>
      <c r="D336" s="34" t="s">
        <v>1502</v>
      </c>
      <c r="E336" s="34" t="s">
        <v>1622</v>
      </c>
      <c r="F336" s="34" t="s">
        <v>1289</v>
      </c>
      <c r="G336" s="34" t="s">
        <v>1297</v>
      </c>
      <c r="H336" s="34" t="s">
        <v>1391</v>
      </c>
      <c r="I336" s="34" t="s">
        <v>1292</v>
      </c>
      <c r="J336" s="34" t="s">
        <v>1293</v>
      </c>
      <c r="K336" s="44">
        <v>46057</v>
      </c>
      <c r="L336" s="46" t="s">
        <v>1392</v>
      </c>
    </row>
    <row r="337" spans="1:12" x14ac:dyDescent="0.25">
      <c r="A337" s="34">
        <v>336</v>
      </c>
      <c r="B337" s="34" t="s">
        <v>338</v>
      </c>
      <c r="C337" s="34">
        <v>21167060</v>
      </c>
      <c r="D337" s="34" t="s">
        <v>1502</v>
      </c>
      <c r="E337" s="34" t="s">
        <v>1623</v>
      </c>
      <c r="F337" s="34" t="s">
        <v>1504</v>
      </c>
      <c r="G337" s="34" t="s">
        <v>1297</v>
      </c>
      <c r="H337" s="34" t="s">
        <v>1391</v>
      </c>
      <c r="I337" s="34" t="s">
        <v>1292</v>
      </c>
      <c r="J337" s="34" t="s">
        <v>1293</v>
      </c>
      <c r="K337" s="44">
        <v>46085</v>
      </c>
      <c r="L337" s="46" t="s">
        <v>1392</v>
      </c>
    </row>
    <row r="338" spans="1:12" x14ac:dyDescent="0.25">
      <c r="A338" s="38">
        <v>337</v>
      </c>
      <c r="B338" s="34" t="s">
        <v>339</v>
      </c>
      <c r="C338" s="34">
        <v>23087230</v>
      </c>
      <c r="D338" s="34" t="s">
        <v>1502</v>
      </c>
      <c r="E338" s="34" t="s">
        <v>1622</v>
      </c>
      <c r="F338" s="34" t="s">
        <v>1289</v>
      </c>
      <c r="G338" s="34" t="s">
        <v>1297</v>
      </c>
      <c r="H338" s="34" t="s">
        <v>1391</v>
      </c>
      <c r="I338" s="34" t="s">
        <v>1292</v>
      </c>
      <c r="J338" s="34" t="s">
        <v>1328</v>
      </c>
      <c r="K338" s="44">
        <v>46057</v>
      </c>
      <c r="L338" s="46" t="s">
        <v>1392</v>
      </c>
    </row>
    <row r="339" spans="1:12" x14ac:dyDescent="0.25">
      <c r="A339" s="34">
        <v>338</v>
      </c>
      <c r="B339" s="34" t="s">
        <v>340</v>
      </c>
      <c r="C339" s="34">
        <v>21187030</v>
      </c>
      <c r="D339" s="34" t="s">
        <v>1502</v>
      </c>
      <c r="E339" s="34" t="s">
        <v>1624</v>
      </c>
      <c r="F339" s="34" t="s">
        <v>1504</v>
      </c>
      <c r="G339" s="34" t="s">
        <v>1297</v>
      </c>
      <c r="H339" s="34" t="s">
        <v>1391</v>
      </c>
      <c r="I339" s="34" t="s">
        <v>1292</v>
      </c>
      <c r="J339" s="34" t="s">
        <v>1293</v>
      </c>
      <c r="K339" s="44">
        <v>46057</v>
      </c>
      <c r="L339" s="46" t="s">
        <v>1392</v>
      </c>
    </row>
    <row r="340" spans="1:12" x14ac:dyDescent="0.25">
      <c r="A340" s="34">
        <v>339</v>
      </c>
      <c r="B340" s="34" t="s">
        <v>341</v>
      </c>
      <c r="C340" s="34">
        <v>2202500051</v>
      </c>
      <c r="D340" s="34" t="s">
        <v>1502</v>
      </c>
      <c r="E340" s="34" t="s">
        <v>1625</v>
      </c>
      <c r="F340" s="34" t="s">
        <v>1504</v>
      </c>
      <c r="G340" s="34" t="s">
        <v>1297</v>
      </c>
      <c r="H340" s="34" t="s">
        <v>1391</v>
      </c>
      <c r="I340" s="34" t="s">
        <v>1292</v>
      </c>
      <c r="J340" s="34" t="s">
        <v>1295</v>
      </c>
      <c r="K340" s="44">
        <v>46085</v>
      </c>
      <c r="L340" s="46" t="s">
        <v>1392</v>
      </c>
    </row>
    <row r="341" spans="1:12" x14ac:dyDescent="0.25">
      <c r="A341" s="34">
        <v>340</v>
      </c>
      <c r="B341" s="34" t="s">
        <v>342</v>
      </c>
      <c r="C341" s="34">
        <v>2121500042</v>
      </c>
      <c r="D341" s="34" t="s">
        <v>1502</v>
      </c>
      <c r="E341" s="34" t="s">
        <v>1508</v>
      </c>
      <c r="F341" s="34" t="s">
        <v>1504</v>
      </c>
      <c r="G341" s="34" t="s">
        <v>1297</v>
      </c>
      <c r="H341" s="34" t="s">
        <v>1391</v>
      </c>
      <c r="I341" s="34" t="s">
        <v>1292</v>
      </c>
      <c r="J341" s="34" t="s">
        <v>1295</v>
      </c>
      <c r="K341" s="44">
        <v>46057</v>
      </c>
      <c r="L341" s="46" t="s">
        <v>1392</v>
      </c>
    </row>
    <row r="342" spans="1:12" ht="25.5" x14ac:dyDescent="0.25">
      <c r="A342" s="34">
        <v>341</v>
      </c>
      <c r="B342" s="35" t="s">
        <v>816</v>
      </c>
      <c r="C342" s="34">
        <v>2119700147</v>
      </c>
      <c r="D342" s="35" t="s">
        <v>1519</v>
      </c>
      <c r="E342" s="35" t="s">
        <v>1626</v>
      </c>
      <c r="F342" s="35" t="s">
        <v>1507</v>
      </c>
      <c r="G342" s="40" t="s">
        <v>1307</v>
      </c>
      <c r="H342" s="34" t="s">
        <v>1308</v>
      </c>
      <c r="I342" s="35" t="s">
        <v>1309</v>
      </c>
      <c r="J342" s="35" t="s">
        <v>1293</v>
      </c>
      <c r="K342" s="45">
        <v>44987</v>
      </c>
      <c r="L342" s="42" t="s">
        <v>1310</v>
      </c>
    </row>
    <row r="343" spans="1:12" x14ac:dyDescent="0.25">
      <c r="A343" s="34">
        <v>342</v>
      </c>
      <c r="B343" s="34" t="s">
        <v>344</v>
      </c>
      <c r="C343" s="34">
        <v>23067020</v>
      </c>
      <c r="D343" s="34" t="s">
        <v>1502</v>
      </c>
      <c r="E343" s="34" t="s">
        <v>1510</v>
      </c>
      <c r="F343" s="34" t="s">
        <v>1507</v>
      </c>
      <c r="G343" s="34" t="s">
        <v>1297</v>
      </c>
      <c r="H343" s="34" t="s">
        <v>1391</v>
      </c>
      <c r="I343" s="34" t="s">
        <v>1292</v>
      </c>
      <c r="J343" s="34" t="s">
        <v>1293</v>
      </c>
      <c r="K343" s="44" t="s">
        <v>1627</v>
      </c>
      <c r="L343" s="46" t="s">
        <v>1392</v>
      </c>
    </row>
    <row r="344" spans="1:12" x14ac:dyDescent="0.25">
      <c r="A344" s="34">
        <v>343</v>
      </c>
      <c r="B344" s="34" t="s">
        <v>345</v>
      </c>
      <c r="C344" s="34">
        <v>21215150</v>
      </c>
      <c r="D344" s="34" t="s">
        <v>1502</v>
      </c>
      <c r="E344" s="34" t="s">
        <v>1628</v>
      </c>
      <c r="F344" s="34" t="s">
        <v>1504</v>
      </c>
      <c r="G344" s="34" t="s">
        <v>1297</v>
      </c>
      <c r="H344" s="34" t="s">
        <v>1391</v>
      </c>
      <c r="I344" s="34" t="s">
        <v>1292</v>
      </c>
      <c r="J344" s="34" t="s">
        <v>1295</v>
      </c>
      <c r="K344" s="44">
        <v>46057</v>
      </c>
      <c r="L344" s="46" t="s">
        <v>1392</v>
      </c>
    </row>
    <row r="345" spans="1:12" x14ac:dyDescent="0.25">
      <c r="A345" s="38">
        <v>344</v>
      </c>
      <c r="B345" s="34" t="s">
        <v>346</v>
      </c>
      <c r="C345" s="34">
        <v>2125700094</v>
      </c>
      <c r="D345" s="34" t="s">
        <v>1502</v>
      </c>
      <c r="E345" s="34" t="s">
        <v>1629</v>
      </c>
      <c r="F345" s="34" t="s">
        <v>1504</v>
      </c>
      <c r="G345" s="34" t="s">
        <v>1297</v>
      </c>
      <c r="H345" s="34" t="s">
        <v>1391</v>
      </c>
      <c r="I345" s="34" t="s">
        <v>1292</v>
      </c>
      <c r="J345" s="34" t="s">
        <v>1293</v>
      </c>
      <c r="K345" s="44" t="s">
        <v>1630</v>
      </c>
      <c r="L345" s="46" t="s">
        <v>1392</v>
      </c>
    </row>
    <row r="346" spans="1:12" x14ac:dyDescent="0.25">
      <c r="A346" s="34">
        <v>345</v>
      </c>
      <c r="B346" s="35" t="s">
        <v>347</v>
      </c>
      <c r="C346" s="34">
        <v>21257090</v>
      </c>
      <c r="D346" s="34" t="s">
        <v>1502</v>
      </c>
      <c r="E346" s="34" t="s">
        <v>1631</v>
      </c>
      <c r="F346" s="34" t="s">
        <v>1504</v>
      </c>
      <c r="G346" s="36" t="s">
        <v>1290</v>
      </c>
      <c r="H346" s="34" t="s">
        <v>1300</v>
      </c>
      <c r="I346" s="34" t="s">
        <v>1292</v>
      </c>
      <c r="J346" s="34" t="s">
        <v>1293</v>
      </c>
      <c r="K346" s="44"/>
      <c r="L346" s="34"/>
    </row>
    <row r="347" spans="1:12" x14ac:dyDescent="0.25">
      <c r="A347" s="34">
        <v>346</v>
      </c>
      <c r="B347" s="34" t="s">
        <v>348</v>
      </c>
      <c r="C347" s="34">
        <v>22077050</v>
      </c>
      <c r="D347" s="34" t="s">
        <v>1502</v>
      </c>
      <c r="E347" s="34" t="s">
        <v>1632</v>
      </c>
      <c r="F347" s="34" t="s">
        <v>1504</v>
      </c>
      <c r="G347" s="34" t="s">
        <v>1297</v>
      </c>
      <c r="H347" s="34" t="s">
        <v>1391</v>
      </c>
      <c r="I347" s="34" t="s">
        <v>1292</v>
      </c>
      <c r="J347" s="34" t="s">
        <v>1293</v>
      </c>
      <c r="K347" s="44">
        <v>46057</v>
      </c>
      <c r="L347" s="46" t="s">
        <v>1392</v>
      </c>
    </row>
    <row r="348" spans="1:12" x14ac:dyDescent="0.25">
      <c r="A348" s="34">
        <v>347</v>
      </c>
      <c r="B348" s="34" t="s">
        <v>349</v>
      </c>
      <c r="C348" s="34">
        <v>21257120</v>
      </c>
      <c r="D348" s="34" t="s">
        <v>1502</v>
      </c>
      <c r="E348" s="34" t="s">
        <v>1633</v>
      </c>
      <c r="F348" s="34" t="s">
        <v>1504</v>
      </c>
      <c r="G348" s="34" t="s">
        <v>1297</v>
      </c>
      <c r="H348" s="34" t="s">
        <v>1391</v>
      </c>
      <c r="I348" s="34" t="s">
        <v>1292</v>
      </c>
      <c r="J348" s="34" t="s">
        <v>1293</v>
      </c>
      <c r="K348" s="44">
        <v>46057</v>
      </c>
      <c r="L348" s="46" t="s">
        <v>1392</v>
      </c>
    </row>
    <row r="349" spans="1:12" x14ac:dyDescent="0.25">
      <c r="A349" s="34">
        <v>348</v>
      </c>
      <c r="B349" s="35" t="s">
        <v>350</v>
      </c>
      <c r="C349" s="34">
        <v>21195190</v>
      </c>
      <c r="D349" s="34" t="s">
        <v>1519</v>
      </c>
      <c r="E349" s="34" t="s">
        <v>1634</v>
      </c>
      <c r="F349" s="34" t="s">
        <v>1507</v>
      </c>
      <c r="G349" s="36" t="s">
        <v>1290</v>
      </c>
      <c r="H349" s="34" t="s">
        <v>1291</v>
      </c>
      <c r="I349" s="34" t="s">
        <v>1292</v>
      </c>
      <c r="J349" s="34" t="s">
        <v>1315</v>
      </c>
      <c r="K349" s="44"/>
      <c r="L349" s="34"/>
    </row>
    <row r="350" spans="1:12" x14ac:dyDescent="0.25">
      <c r="A350" s="34">
        <v>349</v>
      </c>
      <c r="B350" s="35" t="s">
        <v>351</v>
      </c>
      <c r="C350" s="34">
        <v>21206980</v>
      </c>
      <c r="D350" s="34" t="s">
        <v>1519</v>
      </c>
      <c r="E350" s="34" t="s">
        <v>1537</v>
      </c>
      <c r="F350" s="34" t="s">
        <v>1507</v>
      </c>
      <c r="G350" s="36" t="s">
        <v>1290</v>
      </c>
      <c r="H350" s="34" t="s">
        <v>1291</v>
      </c>
      <c r="I350" s="34" t="s">
        <v>1292</v>
      </c>
      <c r="J350" s="34" t="s">
        <v>1315</v>
      </c>
      <c r="K350" s="44"/>
      <c r="L350" s="34"/>
    </row>
    <row r="351" spans="1:12" x14ac:dyDescent="0.25">
      <c r="A351" s="34">
        <v>350</v>
      </c>
      <c r="B351" s="34" t="s">
        <v>352</v>
      </c>
      <c r="C351" s="34">
        <v>2120500050</v>
      </c>
      <c r="D351" s="34" t="s">
        <v>1519</v>
      </c>
      <c r="E351" s="34" t="s">
        <v>1635</v>
      </c>
      <c r="F351" s="34" t="s">
        <v>1507</v>
      </c>
      <c r="G351" s="34" t="s">
        <v>1297</v>
      </c>
      <c r="H351" s="34" t="s">
        <v>1391</v>
      </c>
      <c r="I351" s="34" t="s">
        <v>1292</v>
      </c>
      <c r="J351" s="34" t="s">
        <v>1295</v>
      </c>
      <c r="K351" s="44">
        <v>46114</v>
      </c>
      <c r="L351" s="46" t="s">
        <v>1392</v>
      </c>
    </row>
    <row r="352" spans="1:12" x14ac:dyDescent="0.25">
      <c r="A352" s="38">
        <v>351</v>
      </c>
      <c r="B352" s="34" t="s">
        <v>353</v>
      </c>
      <c r="C352" s="34">
        <v>2120700162</v>
      </c>
      <c r="D352" s="34" t="s">
        <v>1519</v>
      </c>
      <c r="E352" s="34" t="s">
        <v>1636</v>
      </c>
      <c r="F352" s="34" t="s">
        <v>1507</v>
      </c>
      <c r="G352" s="34" t="s">
        <v>1297</v>
      </c>
      <c r="H352" s="34" t="s">
        <v>1391</v>
      </c>
      <c r="I352" s="34" t="s">
        <v>1292</v>
      </c>
      <c r="J352" s="34" t="s">
        <v>1293</v>
      </c>
      <c r="K352" s="44">
        <v>46268</v>
      </c>
      <c r="L352" s="46" t="s">
        <v>1392</v>
      </c>
    </row>
    <row r="353" spans="1:12" ht="25.5" x14ac:dyDescent="0.25">
      <c r="A353" s="34">
        <v>352</v>
      </c>
      <c r="B353" s="35" t="s">
        <v>354</v>
      </c>
      <c r="C353" s="34">
        <v>35025090</v>
      </c>
      <c r="D353" s="35" t="s">
        <v>1519</v>
      </c>
      <c r="E353" s="35" t="s">
        <v>1522</v>
      </c>
      <c r="F353" s="35" t="s">
        <v>1507</v>
      </c>
      <c r="G353" s="72" t="s">
        <v>1307</v>
      </c>
      <c r="H353" s="68" t="s">
        <v>1308</v>
      </c>
      <c r="I353" s="35" t="s">
        <v>1309</v>
      </c>
      <c r="J353" s="35" t="s">
        <v>1295</v>
      </c>
      <c r="K353" s="45" t="s">
        <v>1637</v>
      </c>
      <c r="L353" s="42" t="s">
        <v>1310</v>
      </c>
    </row>
    <row r="354" spans="1:12" x14ac:dyDescent="0.25">
      <c r="A354" s="34">
        <v>353</v>
      </c>
      <c r="B354" s="35" t="s">
        <v>355</v>
      </c>
      <c r="C354" s="34">
        <v>24015110</v>
      </c>
      <c r="D354" s="34" t="s">
        <v>1519</v>
      </c>
      <c r="E354" s="34" t="s">
        <v>1638</v>
      </c>
      <c r="F354" s="34" t="s">
        <v>1507</v>
      </c>
      <c r="G354" s="36" t="s">
        <v>1290</v>
      </c>
      <c r="H354" s="34" t="s">
        <v>1291</v>
      </c>
      <c r="I354" s="34" t="s">
        <v>1292</v>
      </c>
      <c r="J354" s="34" t="s">
        <v>1295</v>
      </c>
      <c r="K354" s="44"/>
      <c r="L354" s="34"/>
    </row>
    <row r="355" spans="1:12" ht="25.5" x14ac:dyDescent="0.25">
      <c r="A355" s="34">
        <v>354</v>
      </c>
      <c r="B355" s="35" t="s">
        <v>356</v>
      </c>
      <c r="C355" s="34">
        <v>35027510</v>
      </c>
      <c r="D355" s="35" t="s">
        <v>1519</v>
      </c>
      <c r="E355" s="35" t="s">
        <v>1522</v>
      </c>
      <c r="F355" s="35" t="s">
        <v>1507</v>
      </c>
      <c r="G355" s="40" t="s">
        <v>1307</v>
      </c>
      <c r="H355" s="34" t="s">
        <v>1308</v>
      </c>
      <c r="I355" s="35" t="s">
        <v>1309</v>
      </c>
      <c r="J355" s="35" t="s">
        <v>1293</v>
      </c>
      <c r="K355" s="45">
        <v>45852</v>
      </c>
      <c r="L355" s="42" t="s">
        <v>1310</v>
      </c>
    </row>
    <row r="356" spans="1:12" x14ac:dyDescent="0.25">
      <c r="A356" s="34">
        <v>355</v>
      </c>
      <c r="B356" s="34" t="s">
        <v>357</v>
      </c>
      <c r="C356" s="34">
        <v>21206930</v>
      </c>
      <c r="D356" s="34" t="s">
        <v>1519</v>
      </c>
      <c r="E356" s="34" t="s">
        <v>1531</v>
      </c>
      <c r="F356" s="34" t="s">
        <v>1507</v>
      </c>
      <c r="G356" s="34" t="s">
        <v>1297</v>
      </c>
      <c r="H356" s="34" t="s">
        <v>1391</v>
      </c>
      <c r="I356" s="34" t="s">
        <v>1292</v>
      </c>
      <c r="J356" s="34" t="s">
        <v>1295</v>
      </c>
      <c r="K356" s="44">
        <v>46114</v>
      </c>
      <c r="L356" s="46" t="s">
        <v>1392</v>
      </c>
    </row>
    <row r="357" spans="1:12" x14ac:dyDescent="0.25">
      <c r="A357" s="34">
        <v>356</v>
      </c>
      <c r="B357" s="35" t="s">
        <v>358</v>
      </c>
      <c r="C357" s="34">
        <v>23065110</v>
      </c>
      <c r="D357" s="34" t="s">
        <v>1519</v>
      </c>
      <c r="E357" s="34" t="s">
        <v>1639</v>
      </c>
      <c r="F357" s="34" t="s">
        <v>1507</v>
      </c>
      <c r="G357" s="36" t="s">
        <v>1290</v>
      </c>
      <c r="H357" s="34" t="s">
        <v>1291</v>
      </c>
      <c r="I357" s="34" t="s">
        <v>1292</v>
      </c>
      <c r="J357" s="34" t="s">
        <v>1295</v>
      </c>
      <c r="K357" s="44"/>
      <c r="L357" s="34"/>
    </row>
    <row r="358" spans="1:12" x14ac:dyDescent="0.25">
      <c r="A358" s="34">
        <v>357</v>
      </c>
      <c r="B358" s="35" t="s">
        <v>359</v>
      </c>
      <c r="C358" s="34">
        <v>21206920</v>
      </c>
      <c r="D358" s="34" t="s">
        <v>1519</v>
      </c>
      <c r="E358" s="34" t="s">
        <v>1529</v>
      </c>
      <c r="F358" s="34" t="s">
        <v>1530</v>
      </c>
      <c r="G358" s="36" t="s">
        <v>1290</v>
      </c>
      <c r="H358" s="34" t="s">
        <v>1291</v>
      </c>
      <c r="I358" s="34" t="s">
        <v>1292</v>
      </c>
      <c r="J358" s="34" t="s">
        <v>1295</v>
      </c>
      <c r="K358" s="44"/>
      <c r="L358" s="34"/>
    </row>
    <row r="359" spans="1:12" ht="25.5" x14ac:dyDescent="0.25">
      <c r="A359" s="38">
        <v>358</v>
      </c>
      <c r="B359" s="35" t="s">
        <v>360</v>
      </c>
      <c r="C359" s="34">
        <v>35027500</v>
      </c>
      <c r="D359" s="35" t="s">
        <v>1519</v>
      </c>
      <c r="E359" s="35" t="s">
        <v>1522</v>
      </c>
      <c r="F359" s="35" t="s">
        <v>1507</v>
      </c>
      <c r="G359" s="40" t="s">
        <v>1307</v>
      </c>
      <c r="H359" s="34" t="s">
        <v>1308</v>
      </c>
      <c r="I359" s="35" t="s">
        <v>1309</v>
      </c>
      <c r="J359" s="35" t="s">
        <v>1293</v>
      </c>
      <c r="K359" s="45">
        <v>45222</v>
      </c>
      <c r="L359" s="42" t="s">
        <v>1310</v>
      </c>
    </row>
    <row r="360" spans="1:12" x14ac:dyDescent="0.25">
      <c r="A360" s="34">
        <v>359</v>
      </c>
      <c r="B360" s="34" t="s">
        <v>361</v>
      </c>
      <c r="C360" s="34">
        <v>2306500106</v>
      </c>
      <c r="D360" s="34" t="s">
        <v>1519</v>
      </c>
      <c r="E360" s="34" t="s">
        <v>1640</v>
      </c>
      <c r="F360" s="34" t="s">
        <v>1507</v>
      </c>
      <c r="G360" s="34" t="s">
        <v>1297</v>
      </c>
      <c r="H360" s="34" t="s">
        <v>1391</v>
      </c>
      <c r="I360" s="34" t="s">
        <v>1292</v>
      </c>
      <c r="J360" s="34" t="s">
        <v>1295</v>
      </c>
      <c r="K360" s="44">
        <v>46115</v>
      </c>
      <c r="L360" s="46" t="s">
        <v>1392</v>
      </c>
    </row>
    <row r="361" spans="1:12" x14ac:dyDescent="0.25">
      <c r="A361" s="34">
        <v>360</v>
      </c>
      <c r="B361" s="35" t="s">
        <v>362</v>
      </c>
      <c r="C361" s="34">
        <v>24035430</v>
      </c>
      <c r="D361" s="34" t="s">
        <v>1397</v>
      </c>
      <c r="E361" s="34" t="s">
        <v>1413</v>
      </c>
      <c r="F361" s="34" t="s">
        <v>1399</v>
      </c>
      <c r="G361" s="36" t="s">
        <v>1290</v>
      </c>
      <c r="H361" s="34" t="s">
        <v>1291</v>
      </c>
      <c r="I361" s="34" t="s">
        <v>1292</v>
      </c>
      <c r="J361" s="34" t="s">
        <v>1641</v>
      </c>
      <c r="K361" s="44"/>
      <c r="L361" s="34"/>
    </row>
    <row r="362" spans="1:12" x14ac:dyDescent="0.25">
      <c r="A362" s="34">
        <v>361</v>
      </c>
      <c r="B362" s="34" t="s">
        <v>363</v>
      </c>
      <c r="C362" s="34">
        <v>2405700149</v>
      </c>
      <c r="D362" s="34" t="s">
        <v>1444</v>
      </c>
      <c r="E362" s="34" t="s">
        <v>1642</v>
      </c>
      <c r="F362" s="34" t="s">
        <v>1446</v>
      </c>
      <c r="G362" s="34" t="s">
        <v>1344</v>
      </c>
      <c r="H362" s="34" t="s">
        <v>1345</v>
      </c>
      <c r="I362" s="34" t="s">
        <v>1292</v>
      </c>
      <c r="J362" s="34" t="s">
        <v>1293</v>
      </c>
      <c r="K362" s="44" t="s">
        <v>1643</v>
      </c>
      <c r="L362" s="34" t="s">
        <v>1468</v>
      </c>
    </row>
    <row r="363" spans="1:12" x14ac:dyDescent="0.25">
      <c r="A363" s="34">
        <v>362</v>
      </c>
      <c r="B363" s="34" t="s">
        <v>364</v>
      </c>
      <c r="C363" s="34">
        <v>56015040</v>
      </c>
      <c r="D363" s="34" t="s">
        <v>1287</v>
      </c>
      <c r="E363" s="34" t="s">
        <v>1644</v>
      </c>
      <c r="F363" s="34" t="s">
        <v>1303</v>
      </c>
      <c r="G363" s="34" t="s">
        <v>1344</v>
      </c>
      <c r="H363" s="34" t="s">
        <v>1345</v>
      </c>
      <c r="I363" s="34" t="s">
        <v>1292</v>
      </c>
      <c r="J363" s="34" t="s">
        <v>1334</v>
      </c>
      <c r="K363" s="44">
        <v>43614</v>
      </c>
      <c r="L363" s="43" t="s">
        <v>1355</v>
      </c>
    </row>
    <row r="364" spans="1:12" x14ac:dyDescent="0.25">
      <c r="A364" s="34">
        <v>363</v>
      </c>
      <c r="B364" s="34" t="s">
        <v>365</v>
      </c>
      <c r="C364" s="34">
        <v>11017020</v>
      </c>
      <c r="D364" s="34" t="s">
        <v>1287</v>
      </c>
      <c r="E364" s="34" t="s">
        <v>1645</v>
      </c>
      <c r="F364" s="34" t="s">
        <v>1303</v>
      </c>
      <c r="G364" s="34" t="s">
        <v>1344</v>
      </c>
      <c r="H364" s="34" t="s">
        <v>1345</v>
      </c>
      <c r="I364" s="34" t="s">
        <v>1292</v>
      </c>
      <c r="J364" s="34" t="s">
        <v>1293</v>
      </c>
      <c r="K364" s="44">
        <v>43675</v>
      </c>
      <c r="L364" s="34" t="s">
        <v>1468</v>
      </c>
    </row>
    <row r="365" spans="1:12" ht="25.5" x14ac:dyDescent="0.25">
      <c r="A365" s="34">
        <v>364</v>
      </c>
      <c r="B365" s="35" t="s">
        <v>366</v>
      </c>
      <c r="C365" s="34">
        <v>26247050</v>
      </c>
      <c r="D365" s="35" t="s">
        <v>1287</v>
      </c>
      <c r="E365" s="35" t="s">
        <v>1646</v>
      </c>
      <c r="F365" s="35" t="s">
        <v>1289</v>
      </c>
      <c r="G365" s="57" t="s">
        <v>1307</v>
      </c>
      <c r="H365" s="38" t="s">
        <v>1308</v>
      </c>
      <c r="I365" s="35" t="s">
        <v>1309</v>
      </c>
      <c r="J365" s="35" t="s">
        <v>1293</v>
      </c>
      <c r="K365" s="45">
        <v>44197</v>
      </c>
      <c r="L365" s="42" t="s">
        <v>1310</v>
      </c>
    </row>
    <row r="366" spans="1:12" ht="25.5" x14ac:dyDescent="0.25">
      <c r="A366" s="38">
        <v>365</v>
      </c>
      <c r="B366" s="35" t="s">
        <v>367</v>
      </c>
      <c r="C366" s="34">
        <v>26217050</v>
      </c>
      <c r="D366" s="34" t="s">
        <v>1287</v>
      </c>
      <c r="E366" s="34" t="s">
        <v>1323</v>
      </c>
      <c r="F366" s="34" t="s">
        <v>1289</v>
      </c>
      <c r="G366" s="40" t="s">
        <v>1307</v>
      </c>
      <c r="H366" s="34" t="s">
        <v>1308</v>
      </c>
      <c r="I366" s="34" t="s">
        <v>1309</v>
      </c>
      <c r="J366" s="34" t="s">
        <v>1293</v>
      </c>
      <c r="K366" s="44">
        <v>45993</v>
      </c>
      <c r="L366" s="42" t="s">
        <v>1310</v>
      </c>
    </row>
    <row r="367" spans="1:12" x14ac:dyDescent="0.25">
      <c r="A367" s="34">
        <v>366</v>
      </c>
      <c r="B367" s="35" t="s">
        <v>368</v>
      </c>
      <c r="C367" s="34">
        <v>25027200</v>
      </c>
      <c r="D367" s="34" t="s">
        <v>1287</v>
      </c>
      <c r="E367" s="34" t="s">
        <v>1647</v>
      </c>
      <c r="F367" s="34" t="s">
        <v>1333</v>
      </c>
      <c r="G367" s="36" t="s">
        <v>1290</v>
      </c>
      <c r="H367" s="38" t="s">
        <v>1291</v>
      </c>
      <c r="I367" s="34" t="s">
        <v>1292</v>
      </c>
      <c r="J367" s="34" t="s">
        <v>1293</v>
      </c>
      <c r="K367" s="44"/>
      <c r="L367" s="43"/>
    </row>
    <row r="368" spans="1:12" x14ac:dyDescent="0.25">
      <c r="A368" s="34">
        <v>367</v>
      </c>
      <c r="B368" s="34" t="s">
        <v>369</v>
      </c>
      <c r="C368" s="34">
        <v>29057003</v>
      </c>
      <c r="D368" s="34" t="s">
        <v>1325</v>
      </c>
      <c r="E368" s="34" t="s">
        <v>1648</v>
      </c>
      <c r="F368" s="34" t="s">
        <v>1333</v>
      </c>
      <c r="G368" s="34" t="s">
        <v>1344</v>
      </c>
      <c r="H368" s="68" t="s">
        <v>1345</v>
      </c>
      <c r="I368" s="34" t="s">
        <v>1292</v>
      </c>
      <c r="J368" s="34" t="s">
        <v>1293</v>
      </c>
      <c r="K368" s="44">
        <v>43545</v>
      </c>
      <c r="L368" s="43" t="s">
        <v>1355</v>
      </c>
    </row>
    <row r="369" spans="1:12" x14ac:dyDescent="0.25">
      <c r="A369" s="34">
        <v>368</v>
      </c>
      <c r="B369" s="34" t="s">
        <v>370</v>
      </c>
      <c r="C369" s="34">
        <v>35107040</v>
      </c>
      <c r="D369" s="34" t="s">
        <v>1352</v>
      </c>
      <c r="E369" s="34" t="s">
        <v>1649</v>
      </c>
      <c r="F369" s="34" t="s">
        <v>1354</v>
      </c>
      <c r="G369" s="34" t="s">
        <v>1344</v>
      </c>
      <c r="H369" s="34" t="s">
        <v>1345</v>
      </c>
      <c r="I369" s="34" t="s">
        <v>1292</v>
      </c>
      <c r="J369" s="34" t="s">
        <v>1293</v>
      </c>
      <c r="K369" s="44">
        <v>44744</v>
      </c>
      <c r="L369" s="43" t="s">
        <v>1355</v>
      </c>
    </row>
    <row r="370" spans="1:12" x14ac:dyDescent="0.25">
      <c r="A370" s="34">
        <v>369</v>
      </c>
      <c r="B370" s="35" t="s">
        <v>371</v>
      </c>
      <c r="C370" s="34">
        <v>21137030</v>
      </c>
      <c r="D370" s="34" t="s">
        <v>1366</v>
      </c>
      <c r="E370" s="34" t="s">
        <v>1650</v>
      </c>
      <c r="F370" s="34" t="s">
        <v>1368</v>
      </c>
      <c r="G370" s="34" t="s">
        <v>860</v>
      </c>
      <c r="H370" s="68" t="s">
        <v>860</v>
      </c>
      <c r="I370" s="34" t="s">
        <v>1292</v>
      </c>
      <c r="J370" s="34" t="s">
        <v>1293</v>
      </c>
      <c r="K370" s="44">
        <v>45202</v>
      </c>
      <c r="L370" s="43" t="s">
        <v>860</v>
      </c>
    </row>
    <row r="371" spans="1:12" ht="38.25" x14ac:dyDescent="0.25">
      <c r="A371" s="34">
        <v>370</v>
      </c>
      <c r="B371" s="35" t="s">
        <v>372</v>
      </c>
      <c r="C371" s="34">
        <v>25025000</v>
      </c>
      <c r="D371" s="35" t="s">
        <v>1383</v>
      </c>
      <c r="E371" s="35" t="s">
        <v>1651</v>
      </c>
      <c r="F371" s="35" t="s">
        <v>1385</v>
      </c>
      <c r="G371" s="40" t="s">
        <v>1652</v>
      </c>
      <c r="H371" s="38" t="s">
        <v>1308</v>
      </c>
      <c r="I371" s="35" t="s">
        <v>1309</v>
      </c>
      <c r="J371" s="35" t="s">
        <v>1295</v>
      </c>
      <c r="K371" s="45">
        <v>44747</v>
      </c>
      <c r="L371" s="69" t="s">
        <v>1653</v>
      </c>
    </row>
    <row r="372" spans="1:12" ht="25.5" x14ac:dyDescent="0.25">
      <c r="A372" s="34">
        <v>371</v>
      </c>
      <c r="B372" s="73" t="s">
        <v>373</v>
      </c>
      <c r="C372" s="34">
        <v>2804500076</v>
      </c>
      <c r="D372" s="35" t="s">
        <v>1383</v>
      </c>
      <c r="E372" s="35" t="s">
        <v>1654</v>
      </c>
      <c r="F372" s="35" t="s">
        <v>1389</v>
      </c>
      <c r="G372" s="57" t="s">
        <v>1307</v>
      </c>
      <c r="H372" s="38" t="s">
        <v>1308</v>
      </c>
      <c r="I372" s="35" t="s">
        <v>1309</v>
      </c>
      <c r="J372" s="35" t="s">
        <v>1295</v>
      </c>
      <c r="K372" s="45" t="s">
        <v>1655</v>
      </c>
      <c r="L372" s="42" t="s">
        <v>1310</v>
      </c>
    </row>
    <row r="373" spans="1:12" x14ac:dyDescent="0.25">
      <c r="A373" s="74">
        <v>372</v>
      </c>
      <c r="B373" s="34" t="s">
        <v>374</v>
      </c>
      <c r="C373" s="65">
        <v>28025130</v>
      </c>
      <c r="D373" s="34" t="s">
        <v>1383</v>
      </c>
      <c r="E373" s="34" t="s">
        <v>1656</v>
      </c>
      <c r="F373" s="34" t="s">
        <v>1389</v>
      </c>
      <c r="G373" s="34" t="s">
        <v>1344</v>
      </c>
      <c r="H373" s="34" t="s">
        <v>1345</v>
      </c>
      <c r="I373" s="34" t="s">
        <v>1292</v>
      </c>
      <c r="J373" s="34" t="s">
        <v>1295</v>
      </c>
      <c r="K373" s="44" t="s">
        <v>1657</v>
      </c>
      <c r="L373" s="43" t="s">
        <v>1355</v>
      </c>
    </row>
    <row r="374" spans="1:12" x14ac:dyDescent="0.25">
      <c r="A374" s="34">
        <v>373</v>
      </c>
      <c r="B374" s="75" t="s">
        <v>375</v>
      </c>
      <c r="C374" s="34">
        <v>22057060</v>
      </c>
      <c r="D374" s="34" t="s">
        <v>1502</v>
      </c>
      <c r="E374" s="34" t="s">
        <v>1658</v>
      </c>
      <c r="F374" s="34" t="s">
        <v>1504</v>
      </c>
      <c r="G374" s="34" t="s">
        <v>860</v>
      </c>
      <c r="H374" s="34" t="s">
        <v>860</v>
      </c>
      <c r="I374" s="34" t="s">
        <v>1292</v>
      </c>
      <c r="J374" s="34" t="s">
        <v>1293</v>
      </c>
      <c r="K374" s="44" t="s">
        <v>1659</v>
      </c>
      <c r="L374" s="34" t="s">
        <v>860</v>
      </c>
    </row>
    <row r="375" spans="1:12" x14ac:dyDescent="0.25">
      <c r="A375" s="34">
        <v>374</v>
      </c>
      <c r="B375" s="34" t="s">
        <v>376</v>
      </c>
      <c r="C375" s="34">
        <v>23067080</v>
      </c>
      <c r="D375" s="34" t="s">
        <v>1519</v>
      </c>
      <c r="E375" s="34" t="s">
        <v>1660</v>
      </c>
      <c r="F375" s="34" t="s">
        <v>1507</v>
      </c>
      <c r="G375" s="34" t="s">
        <v>1297</v>
      </c>
      <c r="H375" s="34" t="s">
        <v>1391</v>
      </c>
      <c r="I375" s="34" t="s">
        <v>1292</v>
      </c>
      <c r="J375" s="34" t="s">
        <v>1293</v>
      </c>
      <c r="K375" s="44">
        <v>46114</v>
      </c>
      <c r="L375" s="46" t="s">
        <v>1392</v>
      </c>
    </row>
    <row r="376" spans="1:12" x14ac:dyDescent="0.25">
      <c r="A376" s="34">
        <v>375</v>
      </c>
      <c r="B376" s="34" t="s">
        <v>377</v>
      </c>
      <c r="C376" s="34">
        <v>11105020</v>
      </c>
      <c r="D376" s="34" t="s">
        <v>1287</v>
      </c>
      <c r="E376" s="34" t="s">
        <v>1661</v>
      </c>
      <c r="F376" s="34" t="s">
        <v>1303</v>
      </c>
      <c r="G376" s="34" t="s">
        <v>1344</v>
      </c>
      <c r="H376" s="34" t="s">
        <v>1345</v>
      </c>
      <c r="I376" s="34" t="s">
        <v>1292</v>
      </c>
      <c r="J376" s="34" t="s">
        <v>1334</v>
      </c>
      <c r="K376" s="44">
        <v>43675</v>
      </c>
      <c r="L376" s="34" t="s">
        <v>1468</v>
      </c>
    </row>
    <row r="377" spans="1:12" x14ac:dyDescent="0.25">
      <c r="A377" s="34">
        <v>376</v>
      </c>
      <c r="B377" s="34" t="s">
        <v>378</v>
      </c>
      <c r="C377" s="34">
        <v>11120040</v>
      </c>
      <c r="D377" s="34" t="s">
        <v>1287</v>
      </c>
      <c r="E377" s="34" t="s">
        <v>1662</v>
      </c>
      <c r="F377" s="34" t="s">
        <v>1303</v>
      </c>
      <c r="G377" s="34" t="s">
        <v>1344</v>
      </c>
      <c r="H377" s="34" t="s">
        <v>1345</v>
      </c>
      <c r="I377" s="34" t="s">
        <v>1292</v>
      </c>
      <c r="J377" s="34" t="s">
        <v>1334</v>
      </c>
      <c r="K377" s="44">
        <v>43759</v>
      </c>
      <c r="L377" s="34" t="s">
        <v>1468</v>
      </c>
    </row>
    <row r="378" spans="1:12" x14ac:dyDescent="0.25">
      <c r="A378" s="34">
        <v>377</v>
      </c>
      <c r="B378" s="35" t="s">
        <v>379</v>
      </c>
      <c r="C378" s="34">
        <v>11080010</v>
      </c>
      <c r="D378" s="34" t="s">
        <v>1287</v>
      </c>
      <c r="E378" s="34" t="s">
        <v>1663</v>
      </c>
      <c r="F378" s="34" t="s">
        <v>1303</v>
      </c>
      <c r="G378" s="36" t="s">
        <v>1290</v>
      </c>
      <c r="H378" s="38" t="s">
        <v>1300</v>
      </c>
      <c r="I378" s="34" t="s">
        <v>1292</v>
      </c>
      <c r="J378" s="34" t="s">
        <v>1334</v>
      </c>
      <c r="K378" s="44">
        <v>45175</v>
      </c>
      <c r="L378" s="43"/>
    </row>
    <row r="379" spans="1:12" ht="25.5" x14ac:dyDescent="0.25">
      <c r="A379" s="34">
        <v>378</v>
      </c>
      <c r="B379" s="35" t="s">
        <v>380</v>
      </c>
      <c r="C379" s="34">
        <v>11155030</v>
      </c>
      <c r="D379" s="35" t="s">
        <v>1287</v>
      </c>
      <c r="E379" s="35" t="s">
        <v>1664</v>
      </c>
      <c r="F379" s="35" t="s">
        <v>1303</v>
      </c>
      <c r="G379" s="57" t="s">
        <v>1307</v>
      </c>
      <c r="H379" s="38" t="s">
        <v>1308</v>
      </c>
      <c r="I379" s="35" t="s">
        <v>1309</v>
      </c>
      <c r="J379" s="35" t="s">
        <v>1346</v>
      </c>
      <c r="K379" s="45">
        <v>43891</v>
      </c>
      <c r="L379" s="69" t="s">
        <v>1310</v>
      </c>
    </row>
    <row r="380" spans="1:12" x14ac:dyDescent="0.25">
      <c r="A380" s="38">
        <v>379</v>
      </c>
      <c r="B380" s="35" t="s">
        <v>381</v>
      </c>
      <c r="C380" s="34">
        <v>56010040</v>
      </c>
      <c r="D380" s="34" t="s">
        <v>1287</v>
      </c>
      <c r="E380" s="34" t="s">
        <v>1665</v>
      </c>
      <c r="F380" s="34" t="s">
        <v>1303</v>
      </c>
      <c r="G380" s="34" t="s">
        <v>1297</v>
      </c>
      <c r="H380" s="34" t="s">
        <v>1300</v>
      </c>
      <c r="I380" s="34" t="s">
        <v>1292</v>
      </c>
      <c r="J380" s="34" t="s">
        <v>1334</v>
      </c>
      <c r="K380" s="44">
        <v>43695</v>
      </c>
      <c r="L380" s="43"/>
    </row>
    <row r="381" spans="1:12" ht="25.5" x14ac:dyDescent="0.25">
      <c r="A381" s="34">
        <v>380</v>
      </c>
      <c r="B381" s="35" t="s">
        <v>382</v>
      </c>
      <c r="C381" s="34">
        <v>12015110</v>
      </c>
      <c r="D381" s="35" t="s">
        <v>1287</v>
      </c>
      <c r="E381" s="35" t="s">
        <v>1549</v>
      </c>
      <c r="F381" s="35" t="s">
        <v>1289</v>
      </c>
      <c r="G381" s="57" t="s">
        <v>1307</v>
      </c>
      <c r="H381" s="38" t="s">
        <v>1308</v>
      </c>
      <c r="I381" s="35" t="s">
        <v>1309</v>
      </c>
      <c r="J381" s="35" t="s">
        <v>1315</v>
      </c>
      <c r="K381" s="45">
        <v>44863</v>
      </c>
      <c r="L381" s="42" t="s">
        <v>1310</v>
      </c>
    </row>
    <row r="382" spans="1:12" ht="25.5" x14ac:dyDescent="0.25">
      <c r="A382" s="34">
        <v>381</v>
      </c>
      <c r="B382" s="35" t="s">
        <v>383</v>
      </c>
      <c r="C382" s="34">
        <v>27015290</v>
      </c>
      <c r="D382" s="35" t="s">
        <v>1287</v>
      </c>
      <c r="E382" s="35" t="s">
        <v>1666</v>
      </c>
      <c r="F382" s="35" t="s">
        <v>1289</v>
      </c>
      <c r="G382" s="57" t="s">
        <v>1307</v>
      </c>
      <c r="H382" s="38" t="s">
        <v>1308</v>
      </c>
      <c r="I382" s="35" t="s">
        <v>1309</v>
      </c>
      <c r="J382" s="35" t="s">
        <v>1295</v>
      </c>
      <c r="K382" s="45">
        <v>43934</v>
      </c>
      <c r="L382" s="42" t="s">
        <v>1310</v>
      </c>
    </row>
    <row r="383" spans="1:12" ht="25.5" x14ac:dyDescent="0.25">
      <c r="A383" s="34">
        <v>382</v>
      </c>
      <c r="B383" s="35" t="s">
        <v>384</v>
      </c>
      <c r="C383" s="34">
        <v>27037030</v>
      </c>
      <c r="D383" s="35" t="s">
        <v>1287</v>
      </c>
      <c r="E383" s="35" t="s">
        <v>1667</v>
      </c>
      <c r="F383" s="35" t="s">
        <v>1289</v>
      </c>
      <c r="G383" s="57" t="s">
        <v>1307</v>
      </c>
      <c r="H383" s="38" t="s">
        <v>1308</v>
      </c>
      <c r="I383" s="35" t="s">
        <v>1309</v>
      </c>
      <c r="J383" s="35" t="s">
        <v>1293</v>
      </c>
      <c r="K383" s="45"/>
      <c r="L383" s="42" t="s">
        <v>1310</v>
      </c>
    </row>
    <row r="384" spans="1:12" ht="25.5" x14ac:dyDescent="0.25">
      <c r="A384" s="34">
        <v>383</v>
      </c>
      <c r="B384" s="35" t="s">
        <v>385</v>
      </c>
      <c r="C384" s="34">
        <v>2308500068</v>
      </c>
      <c r="D384" s="35" t="s">
        <v>1287</v>
      </c>
      <c r="E384" s="35" t="s">
        <v>1668</v>
      </c>
      <c r="F384" s="35" t="s">
        <v>1289</v>
      </c>
      <c r="G384" s="57" t="s">
        <v>1307</v>
      </c>
      <c r="H384" s="38" t="s">
        <v>1308</v>
      </c>
      <c r="I384" s="35" t="s">
        <v>1309</v>
      </c>
      <c r="J384" s="35" t="s">
        <v>1295</v>
      </c>
      <c r="K384" s="45">
        <v>44670</v>
      </c>
      <c r="L384" s="42" t="s">
        <v>1310</v>
      </c>
    </row>
    <row r="385" spans="1:12" ht="38.25" x14ac:dyDescent="0.25">
      <c r="A385" s="34">
        <v>384</v>
      </c>
      <c r="B385" s="34" t="s">
        <v>386</v>
      </c>
      <c r="C385" s="34">
        <v>11050020</v>
      </c>
      <c r="D385" s="35" t="s">
        <v>1287</v>
      </c>
      <c r="E385" s="35" t="s">
        <v>1669</v>
      </c>
      <c r="F385" s="35" t="s">
        <v>1303</v>
      </c>
      <c r="G385" s="40" t="s">
        <v>1652</v>
      </c>
      <c r="H385" s="38" t="s">
        <v>1308</v>
      </c>
      <c r="I385" s="35" t="s">
        <v>1309</v>
      </c>
      <c r="J385" s="35" t="s">
        <v>1334</v>
      </c>
      <c r="K385" s="45">
        <v>44101</v>
      </c>
      <c r="L385" s="69" t="s">
        <v>1653</v>
      </c>
    </row>
    <row r="386" spans="1:12" x14ac:dyDescent="0.25">
      <c r="A386" s="34">
        <v>385</v>
      </c>
      <c r="B386" s="34" t="s">
        <v>387</v>
      </c>
      <c r="C386" s="34">
        <v>29057002</v>
      </c>
      <c r="D386" s="34" t="s">
        <v>1325</v>
      </c>
      <c r="E386" s="34" t="s">
        <v>1339</v>
      </c>
      <c r="F386" s="34" t="s">
        <v>1333</v>
      </c>
      <c r="G386" s="34" t="s">
        <v>1344</v>
      </c>
      <c r="H386" s="34" t="s">
        <v>1345</v>
      </c>
      <c r="I386" s="34" t="s">
        <v>1292</v>
      </c>
      <c r="J386" s="34" t="s">
        <v>1293</v>
      </c>
      <c r="K386" s="76">
        <v>44121</v>
      </c>
      <c r="L386" s="43" t="s">
        <v>1670</v>
      </c>
    </row>
    <row r="387" spans="1:12" x14ac:dyDescent="0.25">
      <c r="A387" s="38">
        <v>386</v>
      </c>
      <c r="B387" s="34" t="s">
        <v>388</v>
      </c>
      <c r="C387" s="34">
        <v>29057001</v>
      </c>
      <c r="D387" s="34" t="s">
        <v>1325</v>
      </c>
      <c r="E387" s="34" t="s">
        <v>1671</v>
      </c>
      <c r="F387" s="34" t="s">
        <v>1333</v>
      </c>
      <c r="G387" s="34" t="s">
        <v>1344</v>
      </c>
      <c r="H387" s="34" t="s">
        <v>1345</v>
      </c>
      <c r="I387" s="34" t="s">
        <v>1292</v>
      </c>
      <c r="J387" s="34" t="s">
        <v>1293</v>
      </c>
      <c r="K387" s="44">
        <v>44216</v>
      </c>
      <c r="L387" s="43" t="s">
        <v>1670</v>
      </c>
    </row>
    <row r="388" spans="1:12" x14ac:dyDescent="0.25">
      <c r="A388" s="34">
        <v>387</v>
      </c>
      <c r="B388" s="34" t="s">
        <v>389</v>
      </c>
      <c r="C388" s="34">
        <v>29057004</v>
      </c>
      <c r="D388" s="34" t="s">
        <v>1325</v>
      </c>
      <c r="E388" s="34" t="s">
        <v>1350</v>
      </c>
      <c r="F388" s="34" t="s">
        <v>1333</v>
      </c>
      <c r="G388" s="34" t="s">
        <v>1344</v>
      </c>
      <c r="H388" s="64" t="s">
        <v>1345</v>
      </c>
      <c r="I388" s="34" t="s">
        <v>1292</v>
      </c>
      <c r="J388" s="34" t="s">
        <v>1293</v>
      </c>
      <c r="K388" s="44">
        <v>43936</v>
      </c>
      <c r="L388" s="43" t="s">
        <v>1670</v>
      </c>
    </row>
    <row r="389" spans="1:12" ht="38.25" x14ac:dyDescent="0.25">
      <c r="A389" s="34">
        <v>388</v>
      </c>
      <c r="B389" s="35" t="s">
        <v>390</v>
      </c>
      <c r="C389" s="34">
        <v>2501700189</v>
      </c>
      <c r="D389" s="35" t="s">
        <v>1325</v>
      </c>
      <c r="E389" s="35" t="s">
        <v>1672</v>
      </c>
      <c r="F389" s="35" t="s">
        <v>1327</v>
      </c>
      <c r="G389" s="40" t="s">
        <v>1652</v>
      </c>
      <c r="H389" s="34" t="s">
        <v>1308</v>
      </c>
      <c r="I389" s="35" t="s">
        <v>1309</v>
      </c>
      <c r="J389" s="35" t="s">
        <v>1328</v>
      </c>
      <c r="K389" s="77"/>
      <c r="L389" s="69" t="s">
        <v>1653</v>
      </c>
    </row>
    <row r="390" spans="1:12" x14ac:dyDescent="0.25">
      <c r="A390" s="34">
        <v>389</v>
      </c>
      <c r="B390" s="34" t="s">
        <v>391</v>
      </c>
      <c r="C390" s="34">
        <v>35227070</v>
      </c>
      <c r="D390" s="34" t="s">
        <v>1352</v>
      </c>
      <c r="E390" s="34" t="s">
        <v>1673</v>
      </c>
      <c r="F390" s="34" t="s">
        <v>1410</v>
      </c>
      <c r="G390" s="62" t="s">
        <v>1344</v>
      </c>
      <c r="H390" s="62" t="s">
        <v>1345</v>
      </c>
      <c r="I390" s="62" t="s">
        <v>1292</v>
      </c>
      <c r="J390" s="34" t="s">
        <v>1293</v>
      </c>
      <c r="K390" s="43">
        <v>45893</v>
      </c>
      <c r="L390" s="34" t="s">
        <v>1468</v>
      </c>
    </row>
    <row r="391" spans="1:12" x14ac:dyDescent="0.25">
      <c r="A391" s="34">
        <v>390</v>
      </c>
      <c r="B391" s="59" t="s">
        <v>392</v>
      </c>
      <c r="C391" s="34">
        <v>21057130</v>
      </c>
      <c r="D391" s="34" t="s">
        <v>1366</v>
      </c>
      <c r="E391" s="34" t="s">
        <v>1561</v>
      </c>
      <c r="F391" s="34" t="s">
        <v>1430</v>
      </c>
      <c r="G391" s="38" t="s">
        <v>1344</v>
      </c>
      <c r="H391" s="60" t="s">
        <v>1558</v>
      </c>
      <c r="I391" s="34" t="s">
        <v>1292</v>
      </c>
      <c r="J391" s="34" t="s">
        <v>1293</v>
      </c>
      <c r="K391" s="34" t="s">
        <v>1674</v>
      </c>
      <c r="L391" s="38" t="s">
        <v>1558</v>
      </c>
    </row>
    <row r="392" spans="1:12" x14ac:dyDescent="0.25">
      <c r="A392" s="34">
        <v>391</v>
      </c>
      <c r="B392" s="59" t="s">
        <v>393</v>
      </c>
      <c r="C392" s="34">
        <v>44197020</v>
      </c>
      <c r="D392" s="34" t="s">
        <v>1519</v>
      </c>
      <c r="E392" s="34" t="s">
        <v>1675</v>
      </c>
      <c r="F392" s="34" t="s">
        <v>1676</v>
      </c>
      <c r="G392" s="49" t="s">
        <v>1344</v>
      </c>
      <c r="H392" s="60" t="s">
        <v>1558</v>
      </c>
      <c r="I392" s="49" t="s">
        <v>1292</v>
      </c>
      <c r="J392" s="34" t="s">
        <v>1328</v>
      </c>
      <c r="K392" s="43">
        <v>45749</v>
      </c>
      <c r="L392" s="38" t="s">
        <v>1558</v>
      </c>
    </row>
    <row r="393" spans="1:12" ht="25.5" x14ac:dyDescent="0.25">
      <c r="A393" s="34">
        <v>392</v>
      </c>
      <c r="B393" s="34" t="s">
        <v>817</v>
      </c>
      <c r="C393" s="34">
        <v>21050090</v>
      </c>
      <c r="D393" s="35" t="s">
        <v>1366</v>
      </c>
      <c r="E393" s="35" t="s">
        <v>1677</v>
      </c>
      <c r="F393" s="35" t="s">
        <v>1368</v>
      </c>
      <c r="G393" s="40" t="s">
        <v>1307</v>
      </c>
      <c r="H393" s="34" t="s">
        <v>1308</v>
      </c>
      <c r="I393" s="39" t="s">
        <v>1309</v>
      </c>
      <c r="J393" s="39" t="s">
        <v>1375</v>
      </c>
      <c r="K393" s="77">
        <v>45002</v>
      </c>
      <c r="L393" s="42" t="s">
        <v>1310</v>
      </c>
    </row>
    <row r="394" spans="1:12" ht="25.5" x14ac:dyDescent="0.25">
      <c r="A394" s="38">
        <v>393</v>
      </c>
      <c r="B394" s="35" t="s">
        <v>395</v>
      </c>
      <c r="C394" s="34">
        <v>29065140</v>
      </c>
      <c r="D394" s="35" t="s">
        <v>1383</v>
      </c>
      <c r="E394" s="35" t="s">
        <v>1390</v>
      </c>
      <c r="F394" s="35" t="s">
        <v>1385</v>
      </c>
      <c r="G394" s="57" t="s">
        <v>1307</v>
      </c>
      <c r="H394" s="38" t="s">
        <v>1308</v>
      </c>
      <c r="I394" s="35" t="s">
        <v>1309</v>
      </c>
      <c r="J394" s="35" t="s">
        <v>1362</v>
      </c>
      <c r="K394" s="77">
        <v>43791</v>
      </c>
      <c r="L394" s="42" t="s">
        <v>1310</v>
      </c>
    </row>
    <row r="395" spans="1:12" ht="140.25" x14ac:dyDescent="0.25">
      <c r="A395" s="34">
        <v>394</v>
      </c>
      <c r="B395" s="34" t="s">
        <v>396</v>
      </c>
      <c r="C395" s="34">
        <v>35097080</v>
      </c>
      <c r="D395" s="34" t="s">
        <v>1397</v>
      </c>
      <c r="E395" s="34" t="s">
        <v>1678</v>
      </c>
      <c r="F395" s="34" t="s">
        <v>1399</v>
      </c>
      <c r="G395" s="34" t="s">
        <v>1297</v>
      </c>
      <c r="H395" s="34" t="s">
        <v>1391</v>
      </c>
      <c r="I395" s="34" t="s">
        <v>1292</v>
      </c>
      <c r="J395" s="34" t="s">
        <v>1328</v>
      </c>
      <c r="K395" s="34" t="s">
        <v>1679</v>
      </c>
      <c r="L395" s="2" t="s">
        <v>1680</v>
      </c>
    </row>
    <row r="396" spans="1:12" x14ac:dyDescent="0.25">
      <c r="A396" s="34">
        <v>395</v>
      </c>
      <c r="B396" s="35" t="s">
        <v>397</v>
      </c>
      <c r="C396" s="34">
        <v>51025090</v>
      </c>
      <c r="D396" s="34" t="s">
        <v>1421</v>
      </c>
      <c r="E396" s="34" t="s">
        <v>1427</v>
      </c>
      <c r="F396" s="34" t="s">
        <v>1423</v>
      </c>
      <c r="G396" s="36" t="s">
        <v>1290</v>
      </c>
      <c r="H396" s="38" t="s">
        <v>1291</v>
      </c>
      <c r="I396" s="34" t="s">
        <v>1292</v>
      </c>
      <c r="J396" s="34" t="s">
        <v>1295</v>
      </c>
      <c r="K396" s="34" t="s">
        <v>1681</v>
      </c>
      <c r="L396" s="34"/>
    </row>
    <row r="397" spans="1:12" x14ac:dyDescent="0.25">
      <c r="A397" s="34">
        <v>396</v>
      </c>
      <c r="B397" s="59" t="s">
        <v>398</v>
      </c>
      <c r="C397" s="34">
        <v>51025060</v>
      </c>
      <c r="D397" s="34" t="s">
        <v>1421</v>
      </c>
      <c r="E397" s="34" t="s">
        <v>1437</v>
      </c>
      <c r="F397" s="34" t="s">
        <v>1423</v>
      </c>
      <c r="G397" s="66" t="s">
        <v>1344</v>
      </c>
      <c r="H397" s="60" t="s">
        <v>1558</v>
      </c>
      <c r="I397" s="34" t="s">
        <v>1292</v>
      </c>
      <c r="J397" s="34" t="s">
        <v>1295</v>
      </c>
      <c r="K397" s="43">
        <v>43626</v>
      </c>
      <c r="L397" s="43" t="s">
        <v>1682</v>
      </c>
    </row>
    <row r="398" spans="1:12" x14ac:dyDescent="0.25">
      <c r="A398" s="34">
        <v>397</v>
      </c>
      <c r="B398" s="34" t="s">
        <v>399</v>
      </c>
      <c r="C398" s="34">
        <v>26157190</v>
      </c>
      <c r="D398" s="34" t="s">
        <v>1473</v>
      </c>
      <c r="E398" s="34" t="s">
        <v>1606</v>
      </c>
      <c r="F398" s="34" t="s">
        <v>1485</v>
      </c>
      <c r="G398" s="34" t="s">
        <v>1297</v>
      </c>
      <c r="H398" s="34" t="s">
        <v>1391</v>
      </c>
      <c r="I398" s="34" t="s">
        <v>1292</v>
      </c>
      <c r="J398" s="34" t="s">
        <v>1293</v>
      </c>
      <c r="K398" s="43">
        <v>46057</v>
      </c>
      <c r="L398" s="46" t="s">
        <v>1392</v>
      </c>
    </row>
    <row r="399" spans="1:12" ht="25.5" x14ac:dyDescent="0.25">
      <c r="A399" s="34">
        <v>398</v>
      </c>
      <c r="B399" s="34" t="s">
        <v>400</v>
      </c>
      <c r="C399" s="34">
        <v>26057030</v>
      </c>
      <c r="D399" s="35" t="s">
        <v>1473</v>
      </c>
      <c r="E399" s="35" t="s">
        <v>1611</v>
      </c>
      <c r="F399" s="35" t="s">
        <v>1476</v>
      </c>
      <c r="G399" s="40" t="s">
        <v>1307</v>
      </c>
      <c r="H399" s="38" t="s">
        <v>1308</v>
      </c>
      <c r="I399" s="35" t="s">
        <v>1309</v>
      </c>
      <c r="J399" s="35" t="s">
        <v>1293</v>
      </c>
      <c r="K399" s="77">
        <v>44811</v>
      </c>
      <c r="L399" s="42" t="s">
        <v>1310</v>
      </c>
    </row>
    <row r="400" spans="1:12" x14ac:dyDescent="0.25">
      <c r="A400" s="34">
        <v>399</v>
      </c>
      <c r="B400" s="35" t="s">
        <v>401</v>
      </c>
      <c r="C400" s="34">
        <v>26127010</v>
      </c>
      <c r="D400" s="34" t="s">
        <v>1473</v>
      </c>
      <c r="E400" s="34" t="s">
        <v>1683</v>
      </c>
      <c r="F400" s="34" t="s">
        <v>1481</v>
      </c>
      <c r="G400" s="36" t="s">
        <v>1290</v>
      </c>
      <c r="H400" s="34" t="s">
        <v>1300</v>
      </c>
      <c r="I400" s="34" t="s">
        <v>1292</v>
      </c>
      <c r="J400" s="34" t="s">
        <v>1293</v>
      </c>
      <c r="K400" s="43"/>
      <c r="L400" s="43"/>
    </row>
    <row r="401" spans="1:12" x14ac:dyDescent="0.25">
      <c r="A401" s="38">
        <v>400</v>
      </c>
      <c r="B401" s="35" t="s">
        <v>402</v>
      </c>
      <c r="C401" s="34">
        <v>55015020</v>
      </c>
      <c r="D401" s="34" t="s">
        <v>1473</v>
      </c>
      <c r="E401" s="34" t="s">
        <v>1684</v>
      </c>
      <c r="F401" s="34" t="s">
        <v>1303</v>
      </c>
      <c r="G401" s="34" t="s">
        <v>860</v>
      </c>
      <c r="H401" s="34" t="s">
        <v>860</v>
      </c>
      <c r="I401" s="34" t="s">
        <v>1292</v>
      </c>
      <c r="J401" s="34" t="s">
        <v>1334</v>
      </c>
      <c r="K401" s="43">
        <v>44868</v>
      </c>
      <c r="L401" s="43" t="s">
        <v>1685</v>
      </c>
    </row>
    <row r="402" spans="1:12" ht="25.5" x14ac:dyDescent="0.25">
      <c r="A402" s="34">
        <v>401</v>
      </c>
      <c r="B402" s="34" t="s">
        <v>403</v>
      </c>
      <c r="C402" s="34">
        <v>5311500147</v>
      </c>
      <c r="D402" s="35" t="s">
        <v>1473</v>
      </c>
      <c r="E402" s="35" t="s">
        <v>1478</v>
      </c>
      <c r="F402" s="35" t="s">
        <v>1476</v>
      </c>
      <c r="G402" s="40" t="s">
        <v>1307</v>
      </c>
      <c r="H402" s="78" t="s">
        <v>1308</v>
      </c>
      <c r="I402" s="35" t="s">
        <v>1309</v>
      </c>
      <c r="J402" s="35" t="s">
        <v>1362</v>
      </c>
      <c r="K402" s="77">
        <v>44969</v>
      </c>
      <c r="L402" s="39" t="s">
        <v>1310</v>
      </c>
    </row>
    <row r="403" spans="1:12" x14ac:dyDescent="0.25">
      <c r="A403" s="34">
        <v>402</v>
      </c>
      <c r="B403" s="34" t="s">
        <v>404</v>
      </c>
      <c r="C403" s="34">
        <v>21237020</v>
      </c>
      <c r="D403" s="34" t="s">
        <v>1502</v>
      </c>
      <c r="E403" s="34" t="s">
        <v>1640</v>
      </c>
      <c r="F403" s="34" t="s">
        <v>1507</v>
      </c>
      <c r="G403" s="34" t="s">
        <v>1344</v>
      </c>
      <c r="H403" s="34" t="s">
        <v>1345</v>
      </c>
      <c r="I403" s="34" t="s">
        <v>1292</v>
      </c>
      <c r="J403" s="34" t="s">
        <v>1293</v>
      </c>
      <c r="K403" s="43">
        <v>45089</v>
      </c>
      <c r="L403" s="34" t="s">
        <v>1468</v>
      </c>
    </row>
    <row r="404" spans="1:12" x14ac:dyDescent="0.25">
      <c r="A404" s="34">
        <v>403</v>
      </c>
      <c r="B404" s="38" t="s">
        <v>405</v>
      </c>
      <c r="C404" s="38">
        <v>35027002</v>
      </c>
      <c r="D404" s="58" t="s">
        <v>1519</v>
      </c>
      <c r="E404" s="58" t="s">
        <v>1686</v>
      </c>
      <c r="F404" s="79" t="s">
        <v>1507</v>
      </c>
      <c r="G404" s="80" t="s">
        <v>1344</v>
      </c>
      <c r="H404" s="38" t="s">
        <v>1345</v>
      </c>
      <c r="I404" s="78" t="s">
        <v>1292</v>
      </c>
      <c r="J404" s="81" t="s">
        <v>1334</v>
      </c>
      <c r="K404" s="82">
        <v>45940</v>
      </c>
      <c r="L404" s="34" t="s">
        <v>1468</v>
      </c>
    </row>
    <row r="405" spans="1:12" x14ac:dyDescent="0.25">
      <c r="A405" s="38">
        <v>404</v>
      </c>
      <c r="B405" s="83" t="s">
        <v>406</v>
      </c>
      <c r="C405" s="61">
        <v>29067160</v>
      </c>
      <c r="D405" s="61" t="s">
        <v>1383</v>
      </c>
      <c r="E405" s="61" t="s">
        <v>1567</v>
      </c>
      <c r="F405" s="84" t="s">
        <v>1385</v>
      </c>
      <c r="G405" s="60" t="s">
        <v>1344</v>
      </c>
      <c r="H405" s="60" t="s">
        <v>1558</v>
      </c>
      <c r="I405" s="60" t="s">
        <v>1292</v>
      </c>
      <c r="J405" s="85" t="s">
        <v>1293</v>
      </c>
      <c r="K405" s="86">
        <v>44609</v>
      </c>
      <c r="L405" s="61" t="s">
        <v>1558</v>
      </c>
    </row>
    <row r="406" spans="1:12" x14ac:dyDescent="0.25">
      <c r="A406" s="38">
        <v>405</v>
      </c>
      <c r="B406" s="87" t="s">
        <v>407</v>
      </c>
      <c r="C406" s="61">
        <v>37037010</v>
      </c>
      <c r="D406" s="61" t="s">
        <v>1444</v>
      </c>
      <c r="E406" s="61" t="s">
        <v>1687</v>
      </c>
      <c r="F406" s="84" t="s">
        <v>1399</v>
      </c>
      <c r="G406" s="60" t="s">
        <v>1344</v>
      </c>
      <c r="H406" s="60" t="s">
        <v>1558</v>
      </c>
      <c r="I406" s="60" t="s">
        <v>1292</v>
      </c>
      <c r="J406" s="85" t="s">
        <v>1293</v>
      </c>
      <c r="K406" s="88">
        <v>45432</v>
      </c>
      <c r="L406" s="61" t="s">
        <v>1558</v>
      </c>
    </row>
    <row r="407" spans="1:12" x14ac:dyDescent="0.25">
      <c r="A407" s="38">
        <v>406</v>
      </c>
      <c r="B407" s="83" t="s">
        <v>408</v>
      </c>
      <c r="C407" s="61">
        <v>16017010</v>
      </c>
      <c r="D407" s="61" t="s">
        <v>1444</v>
      </c>
      <c r="E407" s="61" t="s">
        <v>1456</v>
      </c>
      <c r="F407" s="84" t="s">
        <v>1452</v>
      </c>
      <c r="G407" s="66" t="s">
        <v>1344</v>
      </c>
      <c r="H407" s="60" t="s">
        <v>1558</v>
      </c>
      <c r="I407" s="60" t="s">
        <v>1292</v>
      </c>
      <c r="J407" s="85" t="s">
        <v>1293</v>
      </c>
      <c r="K407" s="88">
        <v>45629</v>
      </c>
      <c r="L407" s="61" t="s">
        <v>1558</v>
      </c>
    </row>
    <row r="408" spans="1:12" x14ac:dyDescent="0.25">
      <c r="A408" s="38">
        <v>407</v>
      </c>
      <c r="B408" s="83" t="s">
        <v>409</v>
      </c>
      <c r="C408" s="61">
        <v>16027060</v>
      </c>
      <c r="D408" s="61" t="s">
        <v>1444</v>
      </c>
      <c r="E408" s="61" t="s">
        <v>1688</v>
      </c>
      <c r="F408" s="84" t="s">
        <v>1452</v>
      </c>
      <c r="G408" s="60" t="s">
        <v>1344</v>
      </c>
      <c r="H408" s="60" t="s">
        <v>1558</v>
      </c>
      <c r="I408" s="60" t="s">
        <v>1292</v>
      </c>
      <c r="J408" s="85" t="s">
        <v>1293</v>
      </c>
      <c r="K408" s="60" t="s">
        <v>1689</v>
      </c>
      <c r="L408" s="61" t="s">
        <v>1558</v>
      </c>
    </row>
    <row r="409" spans="1:12" x14ac:dyDescent="0.25">
      <c r="A409" s="38">
        <v>408</v>
      </c>
      <c r="B409" s="83" t="s">
        <v>410</v>
      </c>
      <c r="C409" s="61">
        <v>16067010</v>
      </c>
      <c r="D409" s="61" t="s">
        <v>1444</v>
      </c>
      <c r="E409" s="61" t="s">
        <v>1690</v>
      </c>
      <c r="F409" s="84" t="s">
        <v>1452</v>
      </c>
      <c r="G409" s="60" t="s">
        <v>1344</v>
      </c>
      <c r="H409" s="60" t="s">
        <v>1558</v>
      </c>
      <c r="I409" s="60" t="s">
        <v>1292</v>
      </c>
      <c r="J409" s="85" t="s">
        <v>1293</v>
      </c>
      <c r="K409" s="60" t="s">
        <v>1691</v>
      </c>
      <c r="L409" s="61" t="s">
        <v>1558</v>
      </c>
    </row>
    <row r="410" spans="1:12" x14ac:dyDescent="0.25">
      <c r="A410" s="38">
        <v>409</v>
      </c>
      <c r="B410" s="83" t="s">
        <v>411</v>
      </c>
      <c r="C410" s="61">
        <v>23205050</v>
      </c>
      <c r="D410" s="61" t="s">
        <v>1444</v>
      </c>
      <c r="E410" s="61" t="s">
        <v>1692</v>
      </c>
      <c r="F410" s="84" t="s">
        <v>1333</v>
      </c>
      <c r="G410" s="60" t="s">
        <v>1344</v>
      </c>
      <c r="H410" s="60" t="s">
        <v>1558</v>
      </c>
      <c r="I410" s="60" t="s">
        <v>1292</v>
      </c>
      <c r="J410" s="85" t="s">
        <v>1334</v>
      </c>
      <c r="K410" s="89">
        <v>45505</v>
      </c>
      <c r="L410" s="61" t="s">
        <v>1558</v>
      </c>
    </row>
    <row r="411" spans="1:12" x14ac:dyDescent="0.25">
      <c r="A411" s="38">
        <v>410</v>
      </c>
      <c r="B411" s="83" t="s">
        <v>412</v>
      </c>
      <c r="C411" s="61">
        <v>16035010</v>
      </c>
      <c r="D411" s="61" t="s">
        <v>1444</v>
      </c>
      <c r="E411" s="61" t="s">
        <v>1690</v>
      </c>
      <c r="F411" s="84" t="s">
        <v>1452</v>
      </c>
      <c r="G411" s="60" t="s">
        <v>1344</v>
      </c>
      <c r="H411" s="60" t="s">
        <v>1558</v>
      </c>
      <c r="I411" s="60" t="s">
        <v>1292</v>
      </c>
      <c r="J411" s="85" t="s">
        <v>1375</v>
      </c>
      <c r="K411" s="60" t="s">
        <v>1693</v>
      </c>
      <c r="L411" s="61" t="s">
        <v>1558</v>
      </c>
    </row>
    <row r="412" spans="1:12" x14ac:dyDescent="0.25">
      <c r="A412" s="38">
        <v>411</v>
      </c>
      <c r="B412" s="60" t="s">
        <v>413</v>
      </c>
      <c r="C412" s="61">
        <v>23107020</v>
      </c>
      <c r="D412" s="61" t="s">
        <v>1444</v>
      </c>
      <c r="E412" s="61" t="s">
        <v>1694</v>
      </c>
      <c r="F412" s="61" t="s">
        <v>1289</v>
      </c>
      <c r="G412" s="90" t="s">
        <v>1297</v>
      </c>
      <c r="H412" s="90" t="s">
        <v>1391</v>
      </c>
      <c r="I412" s="90" t="s">
        <v>1292</v>
      </c>
      <c r="J412" s="61" t="s">
        <v>1293</v>
      </c>
      <c r="K412" s="60" t="s">
        <v>1695</v>
      </c>
      <c r="L412" s="46" t="s">
        <v>1392</v>
      </c>
    </row>
    <row r="413" spans="1:12" x14ac:dyDescent="0.25">
      <c r="A413" s="38">
        <v>412</v>
      </c>
      <c r="B413" s="83" t="s">
        <v>414</v>
      </c>
      <c r="C413" s="61">
        <v>2604500134</v>
      </c>
      <c r="D413" s="61" t="s">
        <v>1473</v>
      </c>
      <c r="E413" s="61" t="s">
        <v>1696</v>
      </c>
      <c r="F413" s="84" t="s">
        <v>1430</v>
      </c>
      <c r="G413" s="60" t="s">
        <v>1344</v>
      </c>
      <c r="H413" s="60" t="s">
        <v>1558</v>
      </c>
      <c r="I413" s="60" t="s">
        <v>1292</v>
      </c>
      <c r="J413" s="85" t="s">
        <v>1295</v>
      </c>
      <c r="K413" s="60" t="s">
        <v>1697</v>
      </c>
      <c r="L413" s="61" t="s">
        <v>1558</v>
      </c>
    </row>
    <row r="414" spans="1:12" x14ac:dyDescent="0.25">
      <c r="A414" s="38">
        <v>413</v>
      </c>
      <c r="B414" s="83" t="s">
        <v>415</v>
      </c>
      <c r="C414" s="61">
        <v>2610500131</v>
      </c>
      <c r="D414" s="61" t="s">
        <v>1473</v>
      </c>
      <c r="E414" s="61" t="s">
        <v>1698</v>
      </c>
      <c r="F414" s="84" t="s">
        <v>1476</v>
      </c>
      <c r="G414" s="60" t="s">
        <v>1344</v>
      </c>
      <c r="H414" s="60" t="s">
        <v>1558</v>
      </c>
      <c r="I414" s="60" t="s">
        <v>1292</v>
      </c>
      <c r="J414" s="85" t="s">
        <v>1295</v>
      </c>
      <c r="K414" s="60" t="s">
        <v>1699</v>
      </c>
      <c r="L414" s="61" t="s">
        <v>1558</v>
      </c>
    </row>
    <row r="415" spans="1:12" x14ac:dyDescent="0.25">
      <c r="A415" s="38">
        <v>414</v>
      </c>
      <c r="B415" s="83" t="s">
        <v>416</v>
      </c>
      <c r="C415" s="61">
        <v>2603700157</v>
      </c>
      <c r="D415" s="61" t="s">
        <v>1473</v>
      </c>
      <c r="E415" s="61" t="s">
        <v>1617</v>
      </c>
      <c r="F415" s="84" t="s">
        <v>1430</v>
      </c>
      <c r="G415" s="60" t="s">
        <v>1344</v>
      </c>
      <c r="H415" s="60" t="s">
        <v>1558</v>
      </c>
      <c r="I415" s="60" t="s">
        <v>1292</v>
      </c>
      <c r="J415" s="85" t="s">
        <v>1293</v>
      </c>
      <c r="K415" s="88">
        <v>45055</v>
      </c>
      <c r="L415" s="61" t="s">
        <v>1558</v>
      </c>
    </row>
    <row r="416" spans="1:12" x14ac:dyDescent="0.25">
      <c r="A416" s="38">
        <v>415</v>
      </c>
      <c r="B416" s="83" t="s">
        <v>417</v>
      </c>
      <c r="C416" s="61">
        <v>2603500127</v>
      </c>
      <c r="D416" s="61" t="s">
        <v>1473</v>
      </c>
      <c r="E416" s="61" t="s">
        <v>1617</v>
      </c>
      <c r="F416" s="84" t="s">
        <v>1430</v>
      </c>
      <c r="G416" s="60" t="s">
        <v>1344</v>
      </c>
      <c r="H416" s="60" t="s">
        <v>1558</v>
      </c>
      <c r="I416" s="60" t="s">
        <v>1292</v>
      </c>
      <c r="J416" s="85" t="s">
        <v>1295</v>
      </c>
      <c r="K416" s="60" t="s">
        <v>1700</v>
      </c>
      <c r="L416" s="61" t="s">
        <v>1558</v>
      </c>
    </row>
    <row r="417" spans="1:12" x14ac:dyDescent="0.25">
      <c r="A417" s="38">
        <v>416</v>
      </c>
      <c r="B417" s="83" t="s">
        <v>418</v>
      </c>
      <c r="C417" s="61">
        <v>2602700148</v>
      </c>
      <c r="D417" s="61" t="s">
        <v>1473</v>
      </c>
      <c r="E417" s="61" t="s">
        <v>1701</v>
      </c>
      <c r="F417" s="84" t="s">
        <v>1430</v>
      </c>
      <c r="G417" s="60" t="s">
        <v>1344</v>
      </c>
      <c r="H417" s="60" t="s">
        <v>1558</v>
      </c>
      <c r="I417" s="60" t="s">
        <v>1292</v>
      </c>
      <c r="J417" s="85" t="s">
        <v>1293</v>
      </c>
      <c r="K417" s="60" t="s">
        <v>1702</v>
      </c>
      <c r="L417" s="61" t="s">
        <v>1558</v>
      </c>
    </row>
    <row r="418" spans="1:12" x14ac:dyDescent="0.25">
      <c r="A418" s="38">
        <v>417</v>
      </c>
      <c r="B418" s="83" t="s">
        <v>419</v>
      </c>
      <c r="C418" s="61">
        <v>16037030</v>
      </c>
      <c r="D418" s="61" t="s">
        <v>1444</v>
      </c>
      <c r="E418" s="61" t="s">
        <v>1703</v>
      </c>
      <c r="F418" s="84" t="s">
        <v>1452</v>
      </c>
      <c r="G418" s="60" t="s">
        <v>1344</v>
      </c>
      <c r="H418" s="60" t="s">
        <v>1558</v>
      </c>
      <c r="I418" s="60" t="s">
        <v>1292</v>
      </c>
      <c r="J418" s="85" t="s">
        <v>1293</v>
      </c>
      <c r="K418" s="60" t="s">
        <v>1704</v>
      </c>
      <c r="L418" s="61" t="s">
        <v>1558</v>
      </c>
    </row>
    <row r="419" spans="1:12" x14ac:dyDescent="0.25">
      <c r="A419" s="38">
        <v>418</v>
      </c>
      <c r="B419" s="87" t="s">
        <v>420</v>
      </c>
      <c r="C419" s="61">
        <v>53075020</v>
      </c>
      <c r="D419" s="61" t="s">
        <v>1421</v>
      </c>
      <c r="E419" s="61" t="s">
        <v>1705</v>
      </c>
      <c r="F419" s="84" t="s">
        <v>1430</v>
      </c>
      <c r="G419" s="60" t="s">
        <v>1344</v>
      </c>
      <c r="H419" s="60" t="s">
        <v>1558</v>
      </c>
      <c r="I419" s="61" t="s">
        <v>1292</v>
      </c>
      <c r="J419" s="85" t="s">
        <v>1295</v>
      </c>
      <c r="K419" s="61" t="s">
        <v>1706</v>
      </c>
      <c r="L419" s="61" t="s">
        <v>1558</v>
      </c>
    </row>
    <row r="420" spans="1:12" x14ac:dyDescent="0.25">
      <c r="A420" s="38">
        <v>419</v>
      </c>
      <c r="B420" s="87" t="s">
        <v>421</v>
      </c>
      <c r="C420" s="61">
        <v>16035030</v>
      </c>
      <c r="D420" s="61" t="s">
        <v>1444</v>
      </c>
      <c r="E420" s="61" t="s">
        <v>1703</v>
      </c>
      <c r="F420" s="84" t="s">
        <v>1452</v>
      </c>
      <c r="G420" s="60" t="s">
        <v>1344</v>
      </c>
      <c r="H420" s="60" t="s">
        <v>1558</v>
      </c>
      <c r="I420" s="61" t="s">
        <v>1292</v>
      </c>
      <c r="J420" s="85" t="s">
        <v>1375</v>
      </c>
      <c r="K420" s="61" t="s">
        <v>1707</v>
      </c>
      <c r="L420" s="61" t="s">
        <v>1558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C81E-2D15-4312-802A-AAC4340F4BCC}">
  <sheetPr filterMode="1"/>
  <dimension ref="A1:I785"/>
  <sheetViews>
    <sheetView zoomScale="80" zoomScaleNormal="80" workbookViewId="0">
      <selection activeCell="C113" sqref="C113"/>
    </sheetView>
  </sheetViews>
  <sheetFormatPr baseColWidth="10" defaultColWidth="19.85546875" defaultRowHeight="15" x14ac:dyDescent="0.25"/>
  <cols>
    <col min="1" max="1" width="6.140625" customWidth="1"/>
    <col min="2" max="2" width="5.5703125" bestFit="1" customWidth="1"/>
    <col min="3" max="3" width="115.140625" customWidth="1"/>
    <col min="5" max="5" width="19.85546875" style="30"/>
  </cols>
  <sheetData>
    <row r="1" spans="1:9" x14ac:dyDescent="0.25">
      <c r="A1" t="s">
        <v>821</v>
      </c>
      <c r="B1" t="s">
        <v>422</v>
      </c>
      <c r="C1" t="s">
        <v>822</v>
      </c>
      <c r="D1" t="s">
        <v>823</v>
      </c>
      <c r="E1" s="30" t="s">
        <v>824</v>
      </c>
      <c r="F1" t="s">
        <v>825</v>
      </c>
      <c r="G1" t="s">
        <v>826</v>
      </c>
    </row>
    <row r="2" spans="1:9" hidden="1" x14ac:dyDescent="0.25">
      <c r="B2">
        <v>1</v>
      </c>
      <c r="C2" t="s">
        <v>827</v>
      </c>
      <c r="D2" t="s">
        <v>828</v>
      </c>
      <c r="E2" s="30">
        <v>0</v>
      </c>
      <c r="F2" t="s">
        <v>829</v>
      </c>
      <c r="G2" t="s">
        <v>830</v>
      </c>
      <c r="I2" t="e">
        <f>+_xlfn.XLOOKUP(B2,ajus!$B$2:$B$420,ajus!$C$2:$C$420)</f>
        <v>#N/A</v>
      </c>
    </row>
    <row r="3" spans="1:9" hidden="1" x14ac:dyDescent="0.25">
      <c r="B3">
        <v>2</v>
      </c>
      <c r="C3" t="s">
        <v>423</v>
      </c>
      <c r="D3" t="s">
        <v>828</v>
      </c>
      <c r="E3" s="30">
        <v>0</v>
      </c>
      <c r="F3" t="s">
        <v>831</v>
      </c>
      <c r="G3" t="s">
        <v>832</v>
      </c>
      <c r="I3" t="str">
        <f>+_xlfn.XLOOKUP(B3,ajus!$B$2:$B$420,ajus!$C$2:$C$420)</f>
        <v>AGUACHICA - AUT [23195240; AO 08; MET; GPRS; FONDO ADAPTACION]</v>
      </c>
    </row>
    <row r="4" spans="1:9" hidden="1" x14ac:dyDescent="0.25">
      <c r="B4">
        <v>3</v>
      </c>
      <c r="C4" t="s">
        <v>424</v>
      </c>
      <c r="D4" t="s">
        <v>828</v>
      </c>
      <c r="E4" s="30">
        <v>0</v>
      </c>
      <c r="F4" t="s">
        <v>831</v>
      </c>
      <c r="G4" t="s">
        <v>832</v>
      </c>
      <c r="I4" t="str">
        <f>+_xlfn.XLOOKUP(B4,ajus!$B$2:$B$420,ajus!$C$2:$C$420)</f>
        <v>AGUAS DE LA VIRGEN  - AUT [16055120; AO 08; MET; GPRS; FONDO ADAPTACION]</v>
      </c>
    </row>
    <row r="5" spans="1:9" hidden="1" x14ac:dyDescent="0.25">
      <c r="B5">
        <v>4</v>
      </c>
      <c r="C5" t="s">
        <v>425</v>
      </c>
      <c r="D5" t="s">
        <v>828</v>
      </c>
      <c r="E5" s="30">
        <v>0</v>
      </c>
      <c r="F5" t="s">
        <v>831</v>
      </c>
      <c r="G5" t="s">
        <v>833</v>
      </c>
      <c r="I5" t="str">
        <f>+_xlfn.XLOOKUP(B5,ajus!$B$2:$B$420,ajus!$C$2:$C$420)</f>
        <v>ALCALDIA DE HERRAN  - AUT [16015130; NDS; MET; INMARSAT; AO08; FONDO ADAPTACION]</v>
      </c>
    </row>
    <row r="6" spans="1:9" hidden="1" x14ac:dyDescent="0.25">
      <c r="B6">
        <v>5</v>
      </c>
      <c r="C6" t="s">
        <v>426</v>
      </c>
      <c r="D6" t="s">
        <v>834</v>
      </c>
      <c r="E6" s="30">
        <v>0</v>
      </c>
      <c r="F6" t="s">
        <v>831</v>
      </c>
      <c r="H6" t="s">
        <v>835</v>
      </c>
      <c r="I6" t="str">
        <f>+_xlfn.XLOOKUP(B6,ajus!$B$2:$B$420,ajus!$C$2:$C$420)</f>
        <v>ALCARAVAN  AUT [37057020; ARA; HID; INMARSAT: AO08; FONDO ADAPTACION]</v>
      </c>
    </row>
    <row r="7" spans="1:9" hidden="1" x14ac:dyDescent="0.25">
      <c r="B7">
        <v>6</v>
      </c>
      <c r="C7" t="s">
        <v>427</v>
      </c>
      <c r="D7" t="s">
        <v>828</v>
      </c>
      <c r="E7" s="30">
        <v>0</v>
      </c>
      <c r="F7" t="s">
        <v>836</v>
      </c>
      <c r="G7" t="s">
        <v>832</v>
      </c>
      <c r="I7" t="str">
        <f>+_xlfn.XLOOKUP(B7,ajus!$B$2:$B$420,ajus!$C$2:$C$420)</f>
        <v>ALGECIRAS - AUT [21105030; AO 04; MET; GPRS; FONDO ADAPTACION]</v>
      </c>
    </row>
    <row r="8" spans="1:9" hidden="1" x14ac:dyDescent="0.25">
      <c r="B8">
        <v>7</v>
      </c>
      <c r="C8" t="s">
        <v>428</v>
      </c>
      <c r="D8" t="s">
        <v>828</v>
      </c>
      <c r="E8" s="30">
        <v>0</v>
      </c>
      <c r="F8" t="s">
        <v>829</v>
      </c>
      <c r="G8" t="s">
        <v>830</v>
      </c>
      <c r="I8" t="str">
        <f>+_xlfn.XLOOKUP(B8,ajus!$B$2:$B$420,ajus!$C$2:$C$420)</f>
        <v>ALTAQUER - AUT [51025080; AO07; FONDO ADAPTACION]</v>
      </c>
    </row>
    <row r="9" spans="1:9" hidden="1" x14ac:dyDescent="0.25">
      <c r="B9">
        <v>9</v>
      </c>
      <c r="C9" t="s">
        <v>429</v>
      </c>
      <c r="D9" t="s">
        <v>834</v>
      </c>
      <c r="E9" s="30">
        <v>0</v>
      </c>
      <c r="F9" t="s">
        <v>837</v>
      </c>
      <c r="G9" t="s">
        <v>838</v>
      </c>
      <c r="I9" t="str">
        <f>+_xlfn.XLOOKUP(B9,ajus!$B$2:$B$420,ajus!$C$2:$C$420)</f>
        <v>CARAMANTA [23087160;AO 01;FONDO ADAPTACION]</v>
      </c>
    </row>
    <row r="10" spans="1:9" hidden="1" x14ac:dyDescent="0.25">
      <c r="B10">
        <v>10</v>
      </c>
      <c r="C10" t="s">
        <v>430</v>
      </c>
      <c r="D10" t="s">
        <v>834</v>
      </c>
      <c r="E10" s="30">
        <v>0</v>
      </c>
      <c r="F10" t="s">
        <v>836</v>
      </c>
      <c r="I10" t="str">
        <f>+_xlfn.XLOOKUP(B10,ajus!$B$2:$B$420,ajus!$C$2:$C$420)</f>
        <v>ANGOSTURA  - AUT [21137050; TOL; HID; INMARSAT; AO04; FONDO ADAPTACION]</v>
      </c>
    </row>
    <row r="11" spans="1:9" hidden="1" x14ac:dyDescent="0.25">
      <c r="B11">
        <v>11</v>
      </c>
      <c r="C11" t="s">
        <v>431</v>
      </c>
      <c r="D11" t="s">
        <v>828</v>
      </c>
      <c r="E11" s="30">
        <v>0</v>
      </c>
      <c r="F11" t="s">
        <v>829</v>
      </c>
      <c r="G11" t="s">
        <v>832</v>
      </c>
      <c r="I11" t="str">
        <f>+_xlfn.XLOOKUP(B11,ajus!$B$2:$B$420,ajus!$C$2:$C$420)</f>
        <v>AEROPUERTO GUAPI - AUT [53045040;AO 07;FONDO ADAPTACION]</v>
      </c>
    </row>
    <row r="12" spans="1:9" hidden="1" x14ac:dyDescent="0.25">
      <c r="B12">
        <v>12</v>
      </c>
      <c r="C12" t="s">
        <v>432</v>
      </c>
      <c r="D12" t="s">
        <v>828</v>
      </c>
      <c r="E12" s="30">
        <v>0</v>
      </c>
      <c r="F12" t="s">
        <v>839</v>
      </c>
      <c r="G12" t="s">
        <v>830</v>
      </c>
      <c r="I12" t="str">
        <f>+_xlfn.XLOOKUP(B12,ajus!$B$2:$B$420,ajus!$C$2:$C$420)</f>
        <v>AQUITANIA - AUT [35095120; AO 06; MET; GPRS; FONDO ADAPTACION]</v>
      </c>
    </row>
    <row r="13" spans="1:9" hidden="1" x14ac:dyDescent="0.25">
      <c r="B13">
        <v>13</v>
      </c>
      <c r="C13" t="s">
        <v>433</v>
      </c>
      <c r="D13" t="s">
        <v>828</v>
      </c>
      <c r="E13" s="30">
        <v>0</v>
      </c>
      <c r="F13" t="s">
        <v>837</v>
      </c>
      <c r="G13" t="s">
        <v>832</v>
      </c>
      <c r="I13" t="str">
        <f>+_xlfn.XLOOKUP(B13,ajus!$B$2:$B$420,ajus!$C$2:$C$420)</f>
        <v>ARAGON [27015320;AO 01;FONDO ADAPTACION]</v>
      </c>
    </row>
    <row r="14" spans="1:9" hidden="1" x14ac:dyDescent="0.25">
      <c r="B14">
        <v>14</v>
      </c>
      <c r="C14" t="s">
        <v>840</v>
      </c>
      <c r="D14" t="s">
        <v>828</v>
      </c>
      <c r="E14" s="30">
        <v>0</v>
      </c>
      <c r="F14" t="s">
        <v>837</v>
      </c>
      <c r="G14" t="s">
        <v>832</v>
      </c>
      <c r="I14" t="e">
        <f>+_xlfn.XLOOKUP(B14,ajus!$B$2:$B$420,ajus!$C$2:$C$420)</f>
        <v>#N/A</v>
      </c>
    </row>
    <row r="15" spans="1:9" hidden="1" x14ac:dyDescent="0.25">
      <c r="B15">
        <v>16</v>
      </c>
      <c r="C15" t="s">
        <v>841</v>
      </c>
      <c r="D15" t="s">
        <v>828</v>
      </c>
      <c r="E15" s="30">
        <v>0</v>
      </c>
      <c r="F15" t="s">
        <v>842</v>
      </c>
      <c r="G15" t="s">
        <v>838</v>
      </c>
      <c r="I15" t="str">
        <f>+_xlfn.XLOOKUP(B15,ajus!$B$2:$B$420,ajus!$C$2:$C$420)</f>
        <v>ARRAYANALES - AUT [26015040; AO09; IPWD; ; FNCM ]</v>
      </c>
    </row>
    <row r="16" spans="1:9" hidden="1" x14ac:dyDescent="0.25">
      <c r="B16">
        <v>18</v>
      </c>
      <c r="C16" t="s">
        <v>843</v>
      </c>
      <c r="D16" t="s">
        <v>834</v>
      </c>
      <c r="E16" s="30">
        <v>0</v>
      </c>
      <c r="F16" t="s">
        <v>844</v>
      </c>
      <c r="G16" t="s">
        <v>832</v>
      </c>
      <c r="I16" t="e">
        <f>+_xlfn.XLOOKUP(B16,ajus!$B$2:$B$420,ajus!$C$2:$C$420)</f>
        <v>#N/A</v>
      </c>
    </row>
    <row r="17" spans="2:9" hidden="1" x14ac:dyDescent="0.25">
      <c r="B17">
        <v>19</v>
      </c>
      <c r="C17" t="s">
        <v>845</v>
      </c>
      <c r="D17" t="s">
        <v>834</v>
      </c>
      <c r="E17" s="30">
        <v>0</v>
      </c>
      <c r="F17" t="s">
        <v>831</v>
      </c>
      <c r="H17" t="s">
        <v>835</v>
      </c>
      <c r="I17" t="e">
        <f>+_xlfn.XLOOKUP(B17,ajus!$B$2:$B$420,ajus!$C$2:$C$420)</f>
        <v>#N/A</v>
      </c>
    </row>
    <row r="18" spans="2:9" hidden="1" x14ac:dyDescent="0.25">
      <c r="B18">
        <v>20</v>
      </c>
      <c r="C18" t="s">
        <v>435</v>
      </c>
      <c r="D18" t="s">
        <v>828</v>
      </c>
      <c r="E18" s="30">
        <v>0</v>
      </c>
      <c r="F18" t="s">
        <v>846</v>
      </c>
      <c r="G18" t="s">
        <v>832</v>
      </c>
      <c r="I18" t="str">
        <f>+_xlfn.XLOOKUP(B18,ajus!$B$2:$B$420,ajus!$C$2:$C$420)</f>
        <v>ACAPULCO [21206280; AO11; FONDO ADAPTACION]</v>
      </c>
    </row>
    <row r="19" spans="2:9" hidden="1" x14ac:dyDescent="0.25">
      <c r="B19">
        <v>21</v>
      </c>
      <c r="C19" t="s">
        <v>436</v>
      </c>
      <c r="D19" t="s">
        <v>828</v>
      </c>
      <c r="E19" s="30">
        <v>0</v>
      </c>
      <c r="F19" t="s">
        <v>842</v>
      </c>
      <c r="G19" t="s">
        <v>838</v>
      </c>
      <c r="I19" t="str">
        <f>+_xlfn.XLOOKUP(B19,ajus!$B$2:$B$420,ajus!$C$2:$C$420)</f>
        <v>BASE AEREA MARCO FIDEL SUAREZ  - AUT [26085170; VDC; MET; GOES: CB1E936C; AO09; FONDO ADAPTACION]</v>
      </c>
    </row>
    <row r="20" spans="2:9" hidden="1" x14ac:dyDescent="0.25">
      <c r="B20">
        <v>22</v>
      </c>
      <c r="C20" t="s">
        <v>437</v>
      </c>
      <c r="D20" t="s">
        <v>828</v>
      </c>
      <c r="E20" s="30">
        <v>0</v>
      </c>
      <c r="F20" t="s">
        <v>847</v>
      </c>
      <c r="G20" t="s">
        <v>848</v>
      </c>
      <c r="I20" t="str">
        <f>+_xlfn.XLOOKUP(B20,ajus!$B$2:$B$420,ajus!$C$2:$C$420)</f>
        <v>BATALLON NO. 6 - AUT [29065120; AO 05; FONDO ADAPTACION]</v>
      </c>
    </row>
    <row r="21" spans="2:9" hidden="1" x14ac:dyDescent="0.25">
      <c r="B21">
        <v>23</v>
      </c>
      <c r="C21" t="s">
        <v>438</v>
      </c>
      <c r="D21" t="s">
        <v>828</v>
      </c>
      <c r="E21" s="30">
        <v>0</v>
      </c>
      <c r="F21" t="s">
        <v>849</v>
      </c>
      <c r="G21" t="s">
        <v>832</v>
      </c>
      <c r="I21" t="str">
        <f>+_xlfn.XLOOKUP(B21,ajus!$B$2:$B$420,ajus!$C$2:$C$420)</f>
        <v>BATALLON ROOKE  - AUT [21215180; AO 10; MET; GPRS; FONDO ADAPTACION]</v>
      </c>
    </row>
    <row r="22" spans="2:9" hidden="1" x14ac:dyDescent="0.25">
      <c r="B22">
        <v>24</v>
      </c>
      <c r="C22" t="s">
        <v>439</v>
      </c>
      <c r="D22" t="s">
        <v>828</v>
      </c>
      <c r="E22" s="30">
        <v>0</v>
      </c>
      <c r="F22" t="s">
        <v>831</v>
      </c>
      <c r="G22" t="s">
        <v>850</v>
      </c>
      <c r="I22" t="str">
        <f>+_xlfn.XLOOKUP(B22,ajus!$B$2:$B$420,ajus!$C$2:$C$420)</f>
        <v>BERLIN - AUT [37015030; AO 08; MET; GPRS; FONDO ADAPTACION]</v>
      </c>
    </row>
    <row r="23" spans="2:9" hidden="1" x14ac:dyDescent="0.25">
      <c r="B23">
        <v>25</v>
      </c>
      <c r="C23" t="s">
        <v>440</v>
      </c>
      <c r="D23" t="s">
        <v>828</v>
      </c>
      <c r="E23" s="30">
        <v>0</v>
      </c>
      <c r="F23" t="s">
        <v>829</v>
      </c>
      <c r="H23" t="s">
        <v>835</v>
      </c>
      <c r="I23" t="str">
        <f>+_xlfn.XLOOKUP(B23,ajus!$B$2:$B$420,ajus!$C$2:$C$420)</f>
        <v>BIOTOPO - AUT [51025060;  AO07; PROCESO DE SUSPENSIÓN]</v>
      </c>
    </row>
    <row r="24" spans="2:9" hidden="1" x14ac:dyDescent="0.25">
      <c r="B24">
        <v>26</v>
      </c>
      <c r="C24" s="31" t="s">
        <v>441</v>
      </c>
      <c r="D24" t="s">
        <v>834</v>
      </c>
      <c r="E24" s="30">
        <v>0</v>
      </c>
      <c r="F24" t="s">
        <v>849</v>
      </c>
      <c r="I24" t="str">
        <f>+_xlfn.XLOOKUP(B24,ajus!$B$2:$B$420,ajus!$C$2:$C$420)</f>
        <v>COLORADOS  - AUT [23067020; CUN; HID; INMARSAT; AO10; FONDO ADAPTACION]</v>
      </c>
    </row>
    <row r="25" spans="2:9" hidden="1" x14ac:dyDescent="0.25">
      <c r="B25">
        <v>28</v>
      </c>
      <c r="C25" t="s">
        <v>442</v>
      </c>
      <c r="D25" t="s">
        <v>828</v>
      </c>
      <c r="E25" s="30">
        <v>0</v>
      </c>
      <c r="F25" t="s">
        <v>829</v>
      </c>
      <c r="G25" t="s">
        <v>830</v>
      </c>
      <c r="I25" t="str">
        <f>+_xlfn.XLOOKUP(B25,ajus!$B$2:$B$420,ajus!$C$2:$C$420)</f>
        <v>BOTANA - AUT [52055210; AO 07; FONDO ADAPTACION]</v>
      </c>
    </row>
    <row r="26" spans="2:9" hidden="1" x14ac:dyDescent="0.25">
      <c r="B26">
        <v>29</v>
      </c>
      <c r="C26" t="s">
        <v>443</v>
      </c>
      <c r="D26" t="s">
        <v>828</v>
      </c>
      <c r="E26" s="30">
        <v>0</v>
      </c>
      <c r="F26" t="s">
        <v>846</v>
      </c>
      <c r="G26" t="s">
        <v>830</v>
      </c>
      <c r="I26" t="str">
        <f>+_xlfn.XLOOKUP(B26,ajus!$B$2:$B$420,ajus!$C$2:$C$420)</f>
        <v>LA BOYERA [24015110; AO11; FONDO ADAPTACION]</v>
      </c>
    </row>
    <row r="27" spans="2:9" hidden="1" x14ac:dyDescent="0.25">
      <c r="B27">
        <v>30</v>
      </c>
      <c r="C27" t="s">
        <v>444</v>
      </c>
      <c r="D27" t="s">
        <v>828</v>
      </c>
      <c r="E27" s="30">
        <v>0</v>
      </c>
      <c r="F27" t="s">
        <v>844</v>
      </c>
      <c r="G27" t="s">
        <v>832</v>
      </c>
      <c r="I27" t="str">
        <f>+_xlfn.XLOOKUP(B27,ajus!$B$2:$B$420,ajus!$C$2:$C$420)</f>
        <v>EL GUAMO - AUT [29015000; AO 02; FONDO ADAPTACION]</v>
      </c>
    </row>
    <row r="28" spans="2:9" hidden="1" x14ac:dyDescent="0.25">
      <c r="B28">
        <v>31</v>
      </c>
      <c r="C28" s="31" t="s">
        <v>445</v>
      </c>
      <c r="D28" t="s">
        <v>828</v>
      </c>
      <c r="E28" s="30">
        <v>0</v>
      </c>
      <c r="F28" t="s">
        <v>842</v>
      </c>
      <c r="I28" t="str">
        <f>+_xlfn.XLOOKUP(B28,ajus!$B$2:$B$420,ajus!$C$2:$C$420)</f>
        <v>LAS BRISAS - AUT [26115090; AO 09; MET; GPRS; FONDO ADAPTACION]</v>
      </c>
    </row>
    <row r="29" spans="2:9" hidden="1" x14ac:dyDescent="0.25">
      <c r="B29">
        <v>32</v>
      </c>
      <c r="C29" t="s">
        <v>446</v>
      </c>
      <c r="D29" t="s">
        <v>834</v>
      </c>
      <c r="E29" s="30">
        <v>0</v>
      </c>
      <c r="F29" t="s">
        <v>842</v>
      </c>
      <c r="G29" t="s">
        <v>832</v>
      </c>
      <c r="I29" t="str">
        <f>+_xlfn.XLOOKUP(B29,ajus!$B$2:$B$420,ajus!$C$2:$C$420)</f>
        <v>BUENAVENTURA IDEAM  - AUT [53119010; VDC; HID;INMARSAT; AO09; FONDO ADAPTACION]</v>
      </c>
    </row>
    <row r="30" spans="2:9" hidden="1" x14ac:dyDescent="0.25">
      <c r="B30">
        <v>33</v>
      </c>
      <c r="C30" s="31" t="s">
        <v>447</v>
      </c>
      <c r="D30" t="s">
        <v>828</v>
      </c>
      <c r="E30" s="30">
        <v>0</v>
      </c>
      <c r="F30" t="s">
        <v>849</v>
      </c>
      <c r="I30" t="str">
        <f>+_xlfn.XLOOKUP(B30,ajus!$B$2:$B$420,ajus!$C$2:$C$420)</f>
        <v>CERROS NOROCCIDENTALES  - AUT [21215160; AO 10; MET; GPRS; FONDO ADAPTACION]</v>
      </c>
    </row>
    <row r="31" spans="2:9" hidden="1" x14ac:dyDescent="0.25">
      <c r="B31">
        <v>34</v>
      </c>
      <c r="C31" t="s">
        <v>448</v>
      </c>
      <c r="D31" t="s">
        <v>834</v>
      </c>
      <c r="E31" s="30">
        <v>0</v>
      </c>
      <c r="F31" t="s">
        <v>837</v>
      </c>
      <c r="G31" t="s">
        <v>838</v>
      </c>
      <c r="I31" t="str">
        <f>+_xlfn.XLOOKUP(B31,ajus!$B$2:$B$420,ajus!$C$2:$C$420)</f>
        <v>SAN ANTONIO PADUA [11057020; AO 01;FONDO ADAPTACION]</v>
      </c>
    </row>
    <row r="32" spans="2:9" hidden="1" x14ac:dyDescent="0.25">
      <c r="B32">
        <v>36</v>
      </c>
      <c r="C32" s="31" t="s">
        <v>851</v>
      </c>
      <c r="D32" t="s">
        <v>834</v>
      </c>
      <c r="E32" s="30">
        <v>0</v>
      </c>
      <c r="F32" t="s">
        <v>831</v>
      </c>
      <c r="I32" t="e">
        <f>+_xlfn.XLOOKUP(B32,ajus!$B$2:$B$420,ajus!$C$2:$C$420)</f>
        <v>#N/A</v>
      </c>
    </row>
    <row r="33" spans="2:9" hidden="1" x14ac:dyDescent="0.25">
      <c r="B33">
        <v>37</v>
      </c>
      <c r="C33" s="31" t="s">
        <v>449</v>
      </c>
      <c r="D33" t="s">
        <v>828</v>
      </c>
      <c r="E33" s="30">
        <v>0</v>
      </c>
      <c r="F33" t="s">
        <v>849</v>
      </c>
      <c r="I33" t="str">
        <f>+_xlfn.XLOOKUP(B33,ajus!$B$2:$B$420,ajus!$C$2:$C$420)</f>
        <v>CAJAMARCA - AUT [21215190; AO 10; MET; GPRS; FONDO ADAPTACION]</v>
      </c>
    </row>
    <row r="34" spans="2:9" hidden="1" x14ac:dyDescent="0.25">
      <c r="B34">
        <v>38</v>
      </c>
      <c r="C34" t="s">
        <v>450</v>
      </c>
      <c r="D34" t="s">
        <v>828</v>
      </c>
      <c r="E34" s="30">
        <v>0</v>
      </c>
      <c r="F34" t="s">
        <v>842</v>
      </c>
      <c r="G34" t="s">
        <v>830</v>
      </c>
      <c r="I34" t="str">
        <f>+_xlfn.XLOOKUP(B34,ajus!$B$2:$B$420,ajus!$C$2:$C$420)</f>
        <v>CALARCA - AUT [26125300; AO 09; MET; GPRS; FONDO ADAPTACION]</v>
      </c>
    </row>
    <row r="35" spans="2:9" hidden="1" x14ac:dyDescent="0.25">
      <c r="B35">
        <v>42</v>
      </c>
      <c r="C35" t="s">
        <v>451</v>
      </c>
      <c r="D35" t="s">
        <v>828</v>
      </c>
      <c r="E35" s="30">
        <v>0</v>
      </c>
      <c r="F35" t="s">
        <v>839</v>
      </c>
      <c r="G35" t="s">
        <v>830</v>
      </c>
      <c r="I35" t="str">
        <f>+_xlfn.XLOOKUP(B35,ajus!$B$2:$B$420,ajus!$C$2:$C$420)</f>
        <v>LA CAPILLA - AUT [35085080; AO 06; MET; GPRS;  FONDO ADAPTACION]</v>
      </c>
    </row>
    <row r="36" spans="2:9" hidden="1" x14ac:dyDescent="0.25">
      <c r="B36">
        <v>43</v>
      </c>
      <c r="C36" t="s">
        <v>452</v>
      </c>
      <c r="D36" t="s">
        <v>828</v>
      </c>
      <c r="E36" s="30">
        <v>0</v>
      </c>
      <c r="F36" t="s">
        <v>844</v>
      </c>
      <c r="G36" t="s">
        <v>830</v>
      </c>
      <c r="I36" t="str">
        <f>+_xlfn.XLOOKUP(B36,ajus!$B$2:$B$420,ajus!$C$2:$C$420)</f>
        <v>CARMEN DE BOLIVAR  - AUT [29015040; AO 02; FONDO ADAPTACION ]</v>
      </c>
    </row>
    <row r="37" spans="2:9" hidden="1" x14ac:dyDescent="0.25">
      <c r="B37">
        <v>44</v>
      </c>
      <c r="C37" t="s">
        <v>453</v>
      </c>
      <c r="D37" t="s">
        <v>828</v>
      </c>
      <c r="E37" s="30">
        <v>0</v>
      </c>
      <c r="F37" t="s">
        <v>844</v>
      </c>
      <c r="G37" t="s">
        <v>832</v>
      </c>
      <c r="I37" t="str">
        <f>+_xlfn.XLOOKUP(B37,ajus!$B$2:$B$420,ajus!$C$2:$C$420)</f>
        <v>REPELON - AUT [29035200; A0 02; FONDO ADAPTACION]</v>
      </c>
    </row>
    <row r="38" spans="2:9" hidden="1" x14ac:dyDescent="0.25">
      <c r="B38">
        <v>45</v>
      </c>
      <c r="C38" t="s">
        <v>454</v>
      </c>
      <c r="D38" t="s">
        <v>828</v>
      </c>
      <c r="E38" s="30">
        <v>0</v>
      </c>
      <c r="F38" t="s">
        <v>829</v>
      </c>
      <c r="G38" t="s">
        <v>832</v>
      </c>
      <c r="I38" t="str">
        <f>+_xlfn.XLOOKUP(B38,ajus!$B$2:$B$420,ajus!$C$2:$C$420)</f>
        <v>CERRO PARAMO  - AUT [52055150;AO 07;FONDO ADAPTACIÓN]</v>
      </c>
    </row>
    <row r="39" spans="2:9" hidden="1" x14ac:dyDescent="0.25">
      <c r="B39">
        <v>47</v>
      </c>
      <c r="C39" t="s">
        <v>455</v>
      </c>
      <c r="D39" t="s">
        <v>834</v>
      </c>
      <c r="E39" s="30">
        <v>0</v>
      </c>
      <c r="F39" t="s">
        <v>839</v>
      </c>
      <c r="G39" t="s">
        <v>852</v>
      </c>
      <c r="I39" t="str">
        <f>+_xlfn.XLOOKUP(B39,ajus!$B$2:$B$420,ajus!$C$2:$C$420)</f>
        <v>PUENTE YOPAL  - AUT [35217010;  AO 06; MET; GPRS; FONDO ADAPTACION]</v>
      </c>
    </row>
    <row r="40" spans="2:9" hidden="1" x14ac:dyDescent="0.25">
      <c r="B40">
        <v>50</v>
      </c>
      <c r="C40" t="s">
        <v>456</v>
      </c>
      <c r="D40" t="s">
        <v>834</v>
      </c>
      <c r="E40" s="30">
        <v>0</v>
      </c>
      <c r="F40" t="s">
        <v>849</v>
      </c>
      <c r="H40" t="s">
        <v>835</v>
      </c>
      <c r="I40" t="str">
        <f>+_xlfn.XLOOKUP(B40,ajus!$B$2:$B$420,ajus!$C$2:$C$420)</f>
        <v>ARRANCAPLUMAS  - AUT [21237020; PROCESO DE SUSPENSIÓN]</v>
      </c>
    </row>
    <row r="41" spans="2:9" hidden="1" x14ac:dyDescent="0.25">
      <c r="B41">
        <v>51</v>
      </c>
      <c r="C41" t="s">
        <v>457</v>
      </c>
      <c r="D41" t="s">
        <v>828</v>
      </c>
      <c r="E41" s="30">
        <v>0</v>
      </c>
      <c r="F41" t="s">
        <v>847</v>
      </c>
      <c r="G41" t="s">
        <v>852</v>
      </c>
      <c r="I41" t="str">
        <f>+_xlfn.XLOOKUP(B41,ajus!$B$2:$B$420,ajus!$C$2:$C$420)</f>
        <v>COLEGIO AGROPECUARIO PAILITAS  - AUT [25025330; AO 05; MET; GPRS; FONDO ADAPTACION]</v>
      </c>
    </row>
    <row r="42" spans="2:9" hidden="1" x14ac:dyDescent="0.25">
      <c r="B42">
        <v>53</v>
      </c>
      <c r="C42" t="s">
        <v>458</v>
      </c>
      <c r="D42" t="s">
        <v>834</v>
      </c>
      <c r="E42" s="30">
        <v>0</v>
      </c>
      <c r="F42" t="s">
        <v>829</v>
      </c>
      <c r="I42" t="str">
        <f>+_xlfn.XLOOKUP(B42,ajus!$B$2:$B$420,ajus!$C$2:$C$420)</f>
        <v>PUERTO NUEVO PATIA - AUT [52017001;AO07;FONDO ADAPTACION]</v>
      </c>
    </row>
    <row r="43" spans="2:9" hidden="1" x14ac:dyDescent="0.25">
      <c r="B43">
        <v>54</v>
      </c>
      <c r="C43" t="s">
        <v>853</v>
      </c>
      <c r="D43" t="s">
        <v>834</v>
      </c>
      <c r="E43" s="30">
        <v>0</v>
      </c>
      <c r="F43" t="s">
        <v>831</v>
      </c>
      <c r="G43" t="s">
        <v>830</v>
      </c>
      <c r="I43" t="e">
        <f>+_xlfn.XLOOKUP(B43,ajus!$B$2:$B$420,ajus!$C$2:$C$420)</f>
        <v>#N/A</v>
      </c>
    </row>
    <row r="44" spans="2:9" hidden="1" x14ac:dyDescent="0.25">
      <c r="B44">
        <v>56</v>
      </c>
      <c r="C44" t="s">
        <v>459</v>
      </c>
      <c r="D44" t="s">
        <v>828</v>
      </c>
      <c r="E44" s="30">
        <v>0</v>
      </c>
      <c r="F44" t="s">
        <v>842</v>
      </c>
      <c r="H44" t="s">
        <v>854</v>
      </c>
      <c r="I44" t="str">
        <f>+_xlfn.XLOOKUP(B44,ajus!$B$2:$B$420,ajus!$C$2:$C$420)</f>
        <v>CORINTO - AUT  [2604500039; AO 09; MET; GPRS; FONDO ADAPTACION]</v>
      </c>
    </row>
    <row r="45" spans="2:9" hidden="1" x14ac:dyDescent="0.25">
      <c r="B45">
        <v>57</v>
      </c>
      <c r="C45" t="s">
        <v>460</v>
      </c>
      <c r="D45" t="s">
        <v>828</v>
      </c>
      <c r="E45" s="30">
        <v>0</v>
      </c>
      <c r="F45" t="s">
        <v>846</v>
      </c>
      <c r="G45" t="s">
        <v>832</v>
      </c>
      <c r="I45" t="str">
        <f>+_xlfn.XLOOKUP(B45,ajus!$B$2:$B$420,ajus!$C$2:$C$420)</f>
        <v>LA COSECHA [21205910; AO11; FONDO ADAPTACION]</v>
      </c>
    </row>
    <row r="46" spans="2:9" hidden="1" x14ac:dyDescent="0.25">
      <c r="B46">
        <v>58</v>
      </c>
      <c r="C46" t="s">
        <v>461</v>
      </c>
      <c r="D46" t="s">
        <v>828</v>
      </c>
      <c r="E46" s="30">
        <v>0</v>
      </c>
      <c r="F46" t="s">
        <v>837</v>
      </c>
      <c r="G46" t="s">
        <v>832</v>
      </c>
      <c r="I46" t="str">
        <f>+_xlfn.XLOOKUP(B46,ajus!$B$2:$B$420,ajus!$C$2:$C$420)</f>
        <v>HACIENDA COTOVE [26225060;AO 01;FONDO ADAPTACION]</v>
      </c>
    </row>
    <row r="47" spans="2:9" x14ac:dyDescent="0.25">
      <c r="B47">
        <v>59</v>
      </c>
      <c r="C47" t="s">
        <v>462</v>
      </c>
      <c r="D47" t="s">
        <v>828</v>
      </c>
      <c r="E47" s="30">
        <v>0</v>
      </c>
      <c r="F47" t="s">
        <v>849</v>
      </c>
      <c r="I47" t="str">
        <f>+_xlfn.XLOOKUP(B47,ajus!$B$2:$B$420,ajus!$C$2:$C$420)</f>
        <v>DEMOSTRACION GRANJA  - AUT [22045010; AO 10; MET; GPRS; FONDO ADAPTACION]</v>
      </c>
    </row>
    <row r="48" spans="2:9" hidden="1" x14ac:dyDescent="0.25">
      <c r="B48">
        <v>60</v>
      </c>
      <c r="C48" t="s">
        <v>463</v>
      </c>
      <c r="D48" t="s">
        <v>828</v>
      </c>
      <c r="E48" s="30">
        <v>0</v>
      </c>
      <c r="F48" t="s">
        <v>829</v>
      </c>
      <c r="G48" t="s">
        <v>838</v>
      </c>
      <c r="I48" t="str">
        <f>+_xlfn.XLOOKUP(B48,ajus!$B$2:$B$420,ajus!$C$2:$C$420)</f>
        <v>BALBOA - AUT [52010020; AO07; FONDO ADAPTACION]</v>
      </c>
    </row>
    <row r="49" spans="2:9" hidden="1" x14ac:dyDescent="0.25">
      <c r="B49">
        <v>61</v>
      </c>
      <c r="C49" t="s">
        <v>855</v>
      </c>
      <c r="D49" t="s">
        <v>828</v>
      </c>
      <c r="E49" s="30">
        <v>0</v>
      </c>
      <c r="F49" t="s">
        <v>842</v>
      </c>
      <c r="G49" t="s">
        <v>832</v>
      </c>
      <c r="I49" t="e">
        <f>+_xlfn.XLOOKUP(B49,ajus!$B$2:$B$420,ajus!$C$2:$C$420)</f>
        <v>#N/A</v>
      </c>
    </row>
    <row r="50" spans="2:9" hidden="1" x14ac:dyDescent="0.25">
      <c r="B50">
        <v>62</v>
      </c>
      <c r="C50" t="s">
        <v>464</v>
      </c>
      <c r="D50" t="s">
        <v>828</v>
      </c>
      <c r="E50" s="30">
        <v>0</v>
      </c>
      <c r="F50" t="s">
        <v>842</v>
      </c>
      <c r="G50" t="s">
        <v>830</v>
      </c>
      <c r="I50" t="str">
        <f>+_xlfn.XLOOKUP(B50,ajus!$B$2:$B$420,ajus!$C$2:$C$420)</f>
        <v>LA DIANA - AUT [26075120; AO 09; MET; GPRS; FONDO ADAPTACION]</v>
      </c>
    </row>
    <row r="51" spans="2:9" hidden="1" x14ac:dyDescent="0.25">
      <c r="B51">
        <v>63</v>
      </c>
      <c r="C51" t="s">
        <v>465</v>
      </c>
      <c r="D51" t="s">
        <v>828</v>
      </c>
      <c r="E51" s="30">
        <v>0</v>
      </c>
      <c r="F51" t="s">
        <v>829</v>
      </c>
      <c r="I51" t="str">
        <f>+_xlfn.XLOOKUP(B51,ajus!$B$2:$B$420,ajus!$C$2:$C$420)</f>
        <v>EL DIVISO - AUT [53075020; AO07; ORDEN PUBLICO]</v>
      </c>
    </row>
    <row r="52" spans="2:9" hidden="1" x14ac:dyDescent="0.25">
      <c r="B52">
        <v>64</v>
      </c>
      <c r="C52" t="s">
        <v>466</v>
      </c>
      <c r="D52" t="s">
        <v>828</v>
      </c>
      <c r="E52" s="30">
        <v>0</v>
      </c>
      <c r="F52" t="s">
        <v>839</v>
      </c>
      <c r="G52" t="s">
        <v>830</v>
      </c>
      <c r="I52" t="str">
        <f>+_xlfn.XLOOKUP(B52,ajus!$B$2:$B$420,ajus!$C$2:$C$420)</f>
        <v>DUITAMA - AUT  [2403500041; AO 06; MET; GPRS; FONDO ADAPTACION]</v>
      </c>
    </row>
    <row r="53" spans="2:9" hidden="1" x14ac:dyDescent="0.25">
      <c r="B53">
        <v>66</v>
      </c>
      <c r="C53" t="s">
        <v>467</v>
      </c>
      <c r="D53" t="s">
        <v>828</v>
      </c>
      <c r="E53" s="30">
        <v>0</v>
      </c>
      <c r="F53" t="s">
        <v>839</v>
      </c>
      <c r="G53" t="s">
        <v>832</v>
      </c>
      <c r="I53" t="str">
        <f>+_xlfn.XLOOKUP(B53,ajus!$B$2:$B$420,ajus!$C$2:$C$420)</f>
        <v>EL ESPINO - AUT [24035370;  AO 06; MET; GPRS; FONDO ADAPTACION]</v>
      </c>
    </row>
    <row r="54" spans="2:9" hidden="1" x14ac:dyDescent="0.25">
      <c r="B54">
        <v>67</v>
      </c>
      <c r="C54" t="s">
        <v>468</v>
      </c>
      <c r="D54" t="s">
        <v>828</v>
      </c>
      <c r="E54" s="30">
        <v>0</v>
      </c>
      <c r="F54" t="s">
        <v>829</v>
      </c>
      <c r="I54" t="str">
        <f>+_xlfn.XLOOKUP(B54,ajus!$B$2:$B$420,ajus!$C$2:$C$420)</f>
        <v>ESTRECHO PATIA  - AUT [52025080; AO 07; MET; GPRS; FONDO ADAPTACIÓN ]</v>
      </c>
    </row>
    <row r="55" spans="2:9" hidden="1" x14ac:dyDescent="0.25">
      <c r="B55">
        <v>68</v>
      </c>
      <c r="C55" t="s">
        <v>469</v>
      </c>
      <c r="D55" t="s">
        <v>828</v>
      </c>
      <c r="E55" s="30">
        <v>0</v>
      </c>
      <c r="F55" t="s">
        <v>842</v>
      </c>
      <c r="G55" t="s">
        <v>838</v>
      </c>
      <c r="I55" t="str">
        <f>+_xlfn.XLOOKUP(B55,ajus!$B$2:$B$420,ajus!$C$2:$C$420)</f>
        <v>FARALLONES - AUT [26055100; VDC; MET; GOES: CB10BF3A ; AO09; FONDO ADAPTACION]</v>
      </c>
    </row>
    <row r="56" spans="2:9" hidden="1" x14ac:dyDescent="0.25">
      <c r="B56">
        <v>69</v>
      </c>
      <c r="C56" t="s">
        <v>470</v>
      </c>
      <c r="D56" t="s">
        <v>828</v>
      </c>
      <c r="E56" s="30">
        <v>0</v>
      </c>
      <c r="F56" t="s">
        <v>847</v>
      </c>
      <c r="G56" t="s">
        <v>832</v>
      </c>
      <c r="I56" t="str">
        <f>+_xlfn.XLOOKUP(B56,ajus!$B$2:$B$420,ajus!$C$2:$C$420)</f>
        <v>FEDEARROZ - AUT [28035060; AO 05; MET; GPRS; FONDO ADAPTACION]</v>
      </c>
    </row>
    <row r="57" spans="2:9" hidden="1" x14ac:dyDescent="0.25">
      <c r="B57">
        <v>70</v>
      </c>
      <c r="C57" t="s">
        <v>471</v>
      </c>
      <c r="D57" t="s">
        <v>828</v>
      </c>
      <c r="E57" s="30">
        <v>0</v>
      </c>
      <c r="F57" t="s">
        <v>836</v>
      </c>
      <c r="G57" t="s">
        <v>830</v>
      </c>
      <c r="I57" t="str">
        <f>+_xlfn.XLOOKUP(B57,ajus!$B$2:$B$420,ajus!$C$2:$C$420)</f>
        <v>FLORENCIA - AUT [44035040; AO 04; MET; GPRS; FONDO ADAPTACION]</v>
      </c>
    </row>
    <row r="58" spans="2:9" hidden="1" x14ac:dyDescent="0.25">
      <c r="B58">
        <v>71</v>
      </c>
      <c r="C58" t="s">
        <v>472</v>
      </c>
      <c r="D58" t="s">
        <v>834</v>
      </c>
      <c r="E58" s="30">
        <v>0</v>
      </c>
      <c r="F58" t="s">
        <v>836</v>
      </c>
      <c r="I58" t="str">
        <f>+_xlfn.XLOOKUP(B58,ajus!$B$2:$B$420,ajus!$C$2:$C$420)</f>
        <v>EL ROSARIO - AUT [44037040;CAQ;HID;INMARSAT; AO04; FONDO ADAPTACION]</v>
      </c>
    </row>
    <row r="59" spans="2:9" hidden="1" x14ac:dyDescent="0.25">
      <c r="B59">
        <v>72</v>
      </c>
      <c r="C59" t="s">
        <v>473</v>
      </c>
      <c r="D59" t="s">
        <v>828</v>
      </c>
      <c r="E59" s="30">
        <v>0</v>
      </c>
      <c r="F59" t="s">
        <v>844</v>
      </c>
      <c r="I59" t="str">
        <f>+_xlfn.XLOOKUP(B59,ajus!$B$2:$B$420,ajus!$C$2:$C$420)</f>
        <v>ESCUELA NAVAL BARRANQUILLA  - AUT [29004520; AO 02; FONDO ADAPTACION]</v>
      </c>
    </row>
    <row r="60" spans="2:9" hidden="1" x14ac:dyDescent="0.25">
      <c r="B60">
        <v>73</v>
      </c>
      <c r="C60" t="s">
        <v>474</v>
      </c>
      <c r="D60" t="s">
        <v>828</v>
      </c>
      <c r="E60" s="30">
        <v>0</v>
      </c>
      <c r="F60" t="s">
        <v>839</v>
      </c>
      <c r="G60" t="s">
        <v>830</v>
      </c>
      <c r="I60" t="str">
        <f>+_xlfn.XLOOKUP(B60,ajus!$B$2:$B$420,ajus!$C$2:$C$420)</f>
        <v>VILLA DE LEIVA  - AUT [24015300; AO06; MET; GPRS; FONDO ADAPTACION]</v>
      </c>
    </row>
    <row r="61" spans="2:9" x14ac:dyDescent="0.25">
      <c r="B61">
        <v>74</v>
      </c>
      <c r="C61" t="s">
        <v>475</v>
      </c>
      <c r="D61" t="s">
        <v>828</v>
      </c>
      <c r="E61" s="30">
        <v>0</v>
      </c>
      <c r="F61" t="s">
        <v>839</v>
      </c>
      <c r="G61" t="s">
        <v>832</v>
      </c>
      <c r="I61" t="str">
        <f>+_xlfn.XLOOKUP(B61,ajus!$B$2:$B$420,ajus!$C$2:$C$420)</f>
        <v>GRANJA GUAYATA - AUT   [3507500046;; MET; AO06; FONDO ADAPTACION]</v>
      </c>
    </row>
    <row r="62" spans="2:9" hidden="1" x14ac:dyDescent="0.25">
      <c r="B62">
        <v>75</v>
      </c>
      <c r="C62" t="s">
        <v>476</v>
      </c>
      <c r="D62" t="s">
        <v>828</v>
      </c>
      <c r="E62" s="30">
        <v>0</v>
      </c>
      <c r="F62" t="s">
        <v>847</v>
      </c>
      <c r="I62" t="str">
        <f>+_xlfn.XLOOKUP(B62,ajus!$B$2:$B$420,ajus!$C$2:$C$420)</f>
        <v>LA GRAN VIA - AUT [29065130; AO 05; MET; GPRS; FONDO ADAPTACION]</v>
      </c>
    </row>
    <row r="63" spans="2:9" hidden="1" x14ac:dyDescent="0.25">
      <c r="B63">
        <v>76</v>
      </c>
      <c r="C63" t="s">
        <v>477</v>
      </c>
      <c r="D63" t="s">
        <v>828</v>
      </c>
      <c r="E63" s="30">
        <v>0</v>
      </c>
      <c r="F63" t="s">
        <v>836</v>
      </c>
      <c r="I63" t="str">
        <f>+_xlfn.XLOOKUP(B63,ajus!$B$2:$B$420,ajus!$C$2:$C$420)</f>
        <v>LOS GUACHAROS  - AUT [21015070; HUI; MET; INMARSAT; AO04; FONDO ADAPTACION]</v>
      </c>
    </row>
    <row r="64" spans="2:9" hidden="1" x14ac:dyDescent="0.25">
      <c r="B64">
        <v>77</v>
      </c>
      <c r="C64" t="s">
        <v>478</v>
      </c>
      <c r="D64" t="s">
        <v>828</v>
      </c>
      <c r="E64" s="30">
        <v>0</v>
      </c>
      <c r="F64" t="s">
        <v>831</v>
      </c>
      <c r="G64" t="s">
        <v>856</v>
      </c>
      <c r="I64" t="str">
        <f>+_xlfn.XLOOKUP(B64,ajus!$B$2:$B$420,ajus!$C$2:$C$420)</f>
        <v>MUTISCUA - AUT [1602500063; NDS; MET; INMARSAT; AO08; FONDO ADAPTACION]</v>
      </c>
    </row>
    <row r="65" spans="2:9" hidden="1" x14ac:dyDescent="0.25">
      <c r="B65">
        <v>78</v>
      </c>
      <c r="C65" t="s">
        <v>857</v>
      </c>
      <c r="D65" t="s">
        <v>828</v>
      </c>
      <c r="E65" s="30">
        <v>0</v>
      </c>
      <c r="F65" t="s">
        <v>847</v>
      </c>
      <c r="G65" t="s">
        <v>832</v>
      </c>
      <c r="I65" t="e">
        <f>+_xlfn.XLOOKUP(B65,ajus!$B$2:$B$420,ajus!$C$2:$C$420)</f>
        <v>#N/A</v>
      </c>
    </row>
    <row r="66" spans="2:9" hidden="1" x14ac:dyDescent="0.25">
      <c r="B66">
        <v>79</v>
      </c>
      <c r="C66" t="s">
        <v>479</v>
      </c>
      <c r="D66" t="s">
        <v>828</v>
      </c>
      <c r="E66" s="30">
        <v>0</v>
      </c>
      <c r="F66" t="s">
        <v>847</v>
      </c>
      <c r="G66" t="s">
        <v>856</v>
      </c>
      <c r="I66" t="str">
        <f>+_xlfn.XLOOKUP(B66,ajus!$B$2:$B$420,ajus!$C$2:$C$420)</f>
        <v>MEDIA LUNA - AUT [29065000; AO 05; MET; GPRS; FONDO ADAPTACION]</v>
      </c>
    </row>
    <row r="67" spans="2:9" hidden="1" x14ac:dyDescent="0.25">
      <c r="B67">
        <v>80</v>
      </c>
      <c r="C67" t="s">
        <v>480</v>
      </c>
      <c r="D67" t="s">
        <v>828</v>
      </c>
      <c r="E67" s="30">
        <v>0</v>
      </c>
      <c r="F67" t="s">
        <v>858</v>
      </c>
      <c r="G67" t="s">
        <v>832</v>
      </c>
      <c r="I67" t="str">
        <f>+_xlfn.XLOOKUP(B67,ajus!$B$2:$B$420,ajus!$C$2:$C$420)</f>
        <v>GRANADA SENA - AUT [3206500045;AO 03;FONDO ADAPTACION]</v>
      </c>
    </row>
    <row r="68" spans="2:9" hidden="1" x14ac:dyDescent="0.25">
      <c r="B68">
        <v>81</v>
      </c>
      <c r="C68" t="s">
        <v>481</v>
      </c>
      <c r="D68" t="s">
        <v>828</v>
      </c>
      <c r="E68" s="30">
        <v>0</v>
      </c>
      <c r="F68" t="s">
        <v>858</v>
      </c>
      <c r="G68" t="s">
        <v>830</v>
      </c>
      <c r="I68" t="str">
        <f>+_xlfn.XLOOKUP(B68,ajus!$B$2:$B$420,ajus!$C$2:$C$420)</f>
        <v>HUERTA LA GRANDE [35095110;AO 03;FONDO ADAPTACION]</v>
      </c>
    </row>
    <row r="69" spans="2:9" hidden="1" x14ac:dyDescent="0.25">
      <c r="B69">
        <v>82</v>
      </c>
      <c r="C69" t="s">
        <v>482</v>
      </c>
      <c r="D69" t="s">
        <v>828</v>
      </c>
      <c r="E69" s="30">
        <v>0</v>
      </c>
      <c r="F69" t="s">
        <v>858</v>
      </c>
      <c r="G69" t="s">
        <v>830</v>
      </c>
      <c r="I69" t="str">
        <f>+_xlfn.XLOOKUP(B69,ajus!$B$2:$B$420,ajus!$C$2:$C$420)</f>
        <v>ICA VILLAVICENCIO - AUT [35035100;AO 03;FONDO ADAPTACION]</v>
      </c>
    </row>
    <row r="70" spans="2:9" hidden="1" x14ac:dyDescent="0.25">
      <c r="B70">
        <v>85</v>
      </c>
      <c r="C70" t="s">
        <v>483</v>
      </c>
      <c r="D70" t="s">
        <v>828</v>
      </c>
      <c r="E70" s="30">
        <v>0</v>
      </c>
      <c r="F70" t="s">
        <v>842</v>
      </c>
      <c r="G70" t="s">
        <v>830</v>
      </c>
      <c r="I70" t="str">
        <f>+_xlfn.XLOOKUP(B70,ajus!$B$2:$B$420,ajus!$C$2:$C$420)</f>
        <v>LA INDEPENDENCIA - AUT [26055110; VDC; MET; GPRS; AO09; FONDO ADAPTACION]</v>
      </c>
    </row>
    <row r="71" spans="2:9" hidden="1" x14ac:dyDescent="0.25">
      <c r="B71">
        <v>86</v>
      </c>
      <c r="C71" t="s">
        <v>859</v>
      </c>
      <c r="D71" t="s">
        <v>834</v>
      </c>
      <c r="E71" s="30">
        <v>0</v>
      </c>
      <c r="F71" t="s">
        <v>858</v>
      </c>
      <c r="H71" t="s">
        <v>860</v>
      </c>
      <c r="I71" t="e">
        <f>+_xlfn.XLOOKUP(B71,ajus!$B$2:$B$420,ajus!$C$2:$C$420)</f>
        <v>#N/A</v>
      </c>
    </row>
    <row r="72" spans="2:9" hidden="1" x14ac:dyDescent="0.25">
      <c r="B72">
        <v>87</v>
      </c>
      <c r="C72" t="s">
        <v>484</v>
      </c>
      <c r="D72" t="s">
        <v>828</v>
      </c>
      <c r="E72" s="30">
        <v>0</v>
      </c>
      <c r="F72" t="s">
        <v>836</v>
      </c>
      <c r="H72" t="s">
        <v>854</v>
      </c>
      <c r="I72" t="str">
        <f>+_xlfn.XLOOKUP(B72,ajus!$B$2:$B$420,ajus!$C$2:$C$420)</f>
        <v>INZA - AUT [21055070; CAU; MET; INMARSAT; AO04; FONDO ADAPTACION]</v>
      </c>
    </row>
    <row r="73" spans="2:9" hidden="1" x14ac:dyDescent="0.25">
      <c r="B73">
        <v>88</v>
      </c>
      <c r="C73" t="s">
        <v>485</v>
      </c>
      <c r="D73" t="s">
        <v>828</v>
      </c>
      <c r="E73" s="30">
        <v>0</v>
      </c>
      <c r="F73" t="s">
        <v>846</v>
      </c>
      <c r="G73" t="s">
        <v>832</v>
      </c>
      <c r="I73" t="str">
        <f>+_xlfn.XLOOKUP(B73,ajus!$B$2:$B$420,ajus!$C$2:$C$420)</f>
        <v>ITA VALSALICE [21195120; AO-11; FONDO ADAPTACION]</v>
      </c>
    </row>
    <row r="74" spans="2:9" hidden="1" x14ac:dyDescent="0.25">
      <c r="B74">
        <v>91</v>
      </c>
      <c r="C74" t="s">
        <v>486</v>
      </c>
      <c r="D74" t="s">
        <v>828</v>
      </c>
      <c r="E74" s="30">
        <v>0</v>
      </c>
      <c r="F74" t="s">
        <v>847</v>
      </c>
      <c r="G74" t="s">
        <v>830</v>
      </c>
      <c r="I74" t="str">
        <f>+_xlfn.XLOOKUP(B74,ajus!$B$2:$B$420,ajus!$C$2:$C$420)</f>
        <v>AEROPUERTO LAS FLORES  - AUT [25025360; AO 05; MET; GPRS; FONDO ADAPTACION]</v>
      </c>
    </row>
    <row r="75" spans="2:9" hidden="1" x14ac:dyDescent="0.25">
      <c r="B75">
        <v>93</v>
      </c>
      <c r="C75" t="s">
        <v>487</v>
      </c>
      <c r="D75" t="s">
        <v>828</v>
      </c>
      <c r="E75" s="30">
        <v>0</v>
      </c>
      <c r="F75" t="s">
        <v>847</v>
      </c>
      <c r="I75" t="str">
        <f>+_xlfn.XLOOKUP(B75,ajus!$B$2:$B$420,ajus!$C$2:$C$420)</f>
        <v>LA LOMA CARBONES - AUT [28025130;  AO05; PROCESO DE SUSPENSIÓN]</v>
      </c>
    </row>
    <row r="76" spans="2:9" hidden="1" x14ac:dyDescent="0.25">
      <c r="B76">
        <v>94</v>
      </c>
      <c r="C76" t="s">
        <v>488</v>
      </c>
      <c r="D76" t="s">
        <v>828</v>
      </c>
      <c r="E76" s="30">
        <v>0</v>
      </c>
      <c r="F76" t="s">
        <v>837</v>
      </c>
      <c r="G76" t="s">
        <v>830</v>
      </c>
      <c r="I76" t="str">
        <f>+_xlfn.XLOOKUP(B76,ajus!$B$2:$B$420,ajus!$C$2:$C$420)</f>
        <v>LA SELVA [23085260; AO 01;FONDO ADAPTACION]</v>
      </c>
    </row>
    <row r="77" spans="2:9" hidden="1" x14ac:dyDescent="0.25">
      <c r="B77">
        <v>95</v>
      </c>
      <c r="C77" t="s">
        <v>489</v>
      </c>
      <c r="D77" t="s">
        <v>834</v>
      </c>
      <c r="E77" s="30">
        <v>0</v>
      </c>
      <c r="F77" t="s">
        <v>829</v>
      </c>
      <c r="G77" t="s">
        <v>852</v>
      </c>
      <c r="I77" t="str">
        <f>+_xlfn.XLOOKUP(B77,ajus!$B$2:$B$420,ajus!$C$2:$C$420)</f>
        <v>PUENTE JUANAMBU  - AUT [52047020; AO07; FONDO ADAPTACION]</v>
      </c>
    </row>
    <row r="78" spans="2:9" hidden="1" x14ac:dyDescent="0.25">
      <c r="B78">
        <v>96</v>
      </c>
      <c r="C78" t="s">
        <v>490</v>
      </c>
      <c r="D78" t="s">
        <v>828</v>
      </c>
      <c r="E78" s="30">
        <v>0</v>
      </c>
      <c r="F78" t="s">
        <v>842</v>
      </c>
      <c r="I78" t="str">
        <f>+_xlfn.XLOOKUP(B78,ajus!$B$2:$B$420,ajus!$C$2:$C$420)</f>
        <v>LA LAGUNA DEL OTUN  - AUT [26135330; RIS; MET; INMARSAT; AO09; FONDO ADAPTACION]</v>
      </c>
    </row>
    <row r="79" spans="2:9" hidden="1" x14ac:dyDescent="0.25">
      <c r="B79">
        <v>97</v>
      </c>
      <c r="C79" t="s">
        <v>861</v>
      </c>
      <c r="D79" t="s">
        <v>828</v>
      </c>
      <c r="E79" s="30">
        <v>0</v>
      </c>
      <c r="F79" t="s">
        <v>842</v>
      </c>
      <c r="I79" t="e">
        <f>+_xlfn.XLOOKUP(B79,ajus!$B$2:$B$420,ajus!$C$2:$C$420)</f>
        <v>#N/A</v>
      </c>
    </row>
    <row r="80" spans="2:9" hidden="1" x14ac:dyDescent="0.25">
      <c r="B80">
        <v>98</v>
      </c>
      <c r="C80" t="s">
        <v>491</v>
      </c>
      <c r="D80" t="s">
        <v>828</v>
      </c>
      <c r="E80" s="30">
        <v>0</v>
      </c>
      <c r="F80" t="s">
        <v>858</v>
      </c>
      <c r="G80" t="s">
        <v>832</v>
      </c>
      <c r="I80" t="str">
        <f>+_xlfn.XLOOKUP(B80,ajus!$B$2:$B$420,ajus!$C$2:$C$420)</f>
        <v>LEJANÍAS - AUT [3206500058;AO 03;FONDO ADAPTACION]</v>
      </c>
    </row>
    <row r="81" spans="2:9" hidden="1" x14ac:dyDescent="0.25">
      <c r="B81">
        <v>99</v>
      </c>
      <c r="C81" t="s">
        <v>492</v>
      </c>
      <c r="D81" t="s">
        <v>828</v>
      </c>
      <c r="E81" s="30">
        <v>0</v>
      </c>
      <c r="F81" t="s">
        <v>858</v>
      </c>
      <c r="G81" t="s">
        <v>832</v>
      </c>
      <c r="I81" t="str">
        <f>+_xlfn.XLOOKUP(B81,ajus!$B$2:$B$420,ajus!$C$2:$C$420)</f>
        <v>LA LIBERTAD - AUT [35025110;AO 03;FONDO ADAPTACION]</v>
      </c>
    </row>
    <row r="82" spans="2:9" hidden="1" x14ac:dyDescent="0.25">
      <c r="B82">
        <v>100</v>
      </c>
      <c r="C82" t="s">
        <v>493</v>
      </c>
      <c r="D82" t="s">
        <v>828</v>
      </c>
      <c r="E82" s="30">
        <v>0</v>
      </c>
      <c r="F82" t="s">
        <v>837</v>
      </c>
      <c r="G82" t="s">
        <v>830</v>
      </c>
      <c r="I82" t="str">
        <f>+_xlfn.XLOOKUP(B82,ajus!$B$2:$B$420,ajus!$C$2:$C$420)</f>
        <v>LLORO [11035010;AO 01;FONDO ADAPTACION]</v>
      </c>
    </row>
    <row r="83" spans="2:9" hidden="1" x14ac:dyDescent="0.25">
      <c r="B83">
        <v>101</v>
      </c>
      <c r="C83" t="s">
        <v>494</v>
      </c>
      <c r="D83" t="s">
        <v>828</v>
      </c>
      <c r="E83" s="30">
        <v>0</v>
      </c>
      <c r="F83" t="s">
        <v>836</v>
      </c>
      <c r="I83" t="str">
        <f>+_xlfn.XLOOKUP(B83,ajus!$B$2:$B$420,ajus!$C$2:$C$420)</f>
        <v>MACAGUAL - AUT [44035050; CAQ; MET; AM; R; AO04 ; H2; OCARVAJAL; 55-3; IPWD; R24; FNCM; ; ]</v>
      </c>
    </row>
    <row r="84" spans="2:9" hidden="1" x14ac:dyDescent="0.25">
      <c r="B84">
        <v>102</v>
      </c>
      <c r="C84" t="s">
        <v>495</v>
      </c>
      <c r="D84" t="s">
        <v>828</v>
      </c>
      <c r="E84" s="30">
        <v>0</v>
      </c>
      <c r="F84" t="s">
        <v>837</v>
      </c>
      <c r="G84" t="s">
        <v>830</v>
      </c>
      <c r="I84" t="str">
        <f>+_xlfn.XLOOKUP(B84,ajus!$B$2:$B$420,ajus!$C$2:$C$420)</f>
        <v>MACEO [23105070; AO 01;FONDO ADAPTACION]</v>
      </c>
    </row>
    <row r="85" spans="2:9" hidden="1" x14ac:dyDescent="0.25">
      <c r="B85">
        <v>103</v>
      </c>
      <c r="C85" t="s">
        <v>496</v>
      </c>
      <c r="D85" t="s">
        <v>828</v>
      </c>
      <c r="E85" s="30">
        <v>0</v>
      </c>
      <c r="F85" t="s">
        <v>831</v>
      </c>
      <c r="I85" t="str">
        <f>+_xlfn.XLOOKUP(B85,ajus!$B$2:$B$420,ajus!$C$2:$C$420)</f>
        <v>MALAGA 2 [24030950; SAN; MET; PG; ROC; AO08; H7; DOSPINA; 55-5; IPWD; R24;FNCM; ;  ]</v>
      </c>
    </row>
    <row r="86" spans="2:9" hidden="1" x14ac:dyDescent="0.25">
      <c r="B86">
        <v>105</v>
      </c>
      <c r="C86" t="s">
        <v>497</v>
      </c>
      <c r="D86" t="s">
        <v>828</v>
      </c>
      <c r="E86" s="30">
        <v>0</v>
      </c>
      <c r="F86" t="s">
        <v>849</v>
      </c>
      <c r="G86" t="s">
        <v>830</v>
      </c>
      <c r="I86" t="str">
        <f>+_xlfn.XLOOKUP(B86,ajus!$B$2:$B$420,ajus!$C$2:$C$420)</f>
        <v>MANZANARES - AUT [2302500064; AO 10; MET; GPRS; FONDO ADAPTACION]</v>
      </c>
    </row>
    <row r="87" spans="2:9" hidden="1" x14ac:dyDescent="0.25">
      <c r="B87">
        <v>106</v>
      </c>
      <c r="C87" t="s">
        <v>498</v>
      </c>
      <c r="D87" t="s">
        <v>828</v>
      </c>
      <c r="E87" s="30">
        <v>0</v>
      </c>
      <c r="F87" t="s">
        <v>836</v>
      </c>
      <c r="I87" t="str">
        <f>+_xlfn.XLOOKUP(B87,ajus!$B$2:$B$420,ajus!$C$2:$C$420)</f>
        <v>SEVILLA  - AUT [21015020; AO 04; MET; GPRS; FONDO ADAPTACION]</v>
      </c>
    </row>
    <row r="88" spans="2:9" hidden="1" x14ac:dyDescent="0.25">
      <c r="B88">
        <v>108</v>
      </c>
      <c r="C88" t="s">
        <v>862</v>
      </c>
      <c r="D88" t="s">
        <v>828</v>
      </c>
      <c r="E88" s="30">
        <v>0</v>
      </c>
      <c r="F88" t="s">
        <v>847</v>
      </c>
      <c r="G88" t="s">
        <v>838</v>
      </c>
      <c r="I88" t="e">
        <f>+_xlfn.XLOOKUP(B88,ajus!$B$2:$B$420,ajus!$C$2:$C$420)</f>
        <v>#N/A</v>
      </c>
    </row>
    <row r="89" spans="2:9" hidden="1" x14ac:dyDescent="0.25">
      <c r="B89">
        <v>109</v>
      </c>
      <c r="C89" t="s">
        <v>499</v>
      </c>
      <c r="D89" t="s">
        <v>828</v>
      </c>
      <c r="E89" s="30">
        <v>0</v>
      </c>
      <c r="F89" t="s">
        <v>846</v>
      </c>
      <c r="G89" t="s">
        <v>832</v>
      </c>
      <c r="I89" t="str">
        <f>+_xlfn.XLOOKUP(B89,ajus!$B$2:$B$420,ajus!$C$2:$C$420)</f>
        <v>MERCEDES [21205660; AO 11; FONDO ADAPTACION]</v>
      </c>
    </row>
    <row r="90" spans="2:9" hidden="1" x14ac:dyDescent="0.25">
      <c r="B90">
        <v>110</v>
      </c>
      <c r="C90" t="s">
        <v>500</v>
      </c>
      <c r="D90" t="s">
        <v>828</v>
      </c>
      <c r="E90" s="30">
        <v>0</v>
      </c>
      <c r="F90" t="s">
        <v>837</v>
      </c>
      <c r="G90" t="s">
        <v>830</v>
      </c>
      <c r="I90" t="str">
        <f>+_xlfn.XLOOKUP(B90,ajus!$B$2:$B$420,ajus!$C$2:$C$420)</f>
        <v>METROMEDELLIN [27015310;AO 01;FONDO ADAPTACION]</v>
      </c>
    </row>
    <row r="91" spans="2:9" hidden="1" x14ac:dyDescent="0.25">
      <c r="B91">
        <v>111</v>
      </c>
      <c r="C91" t="s">
        <v>501</v>
      </c>
      <c r="D91" t="s">
        <v>828</v>
      </c>
      <c r="E91" s="30">
        <v>0</v>
      </c>
      <c r="F91" t="s">
        <v>831</v>
      </c>
      <c r="G91" t="s">
        <v>832</v>
      </c>
      <c r="I91" t="str">
        <f>+_xlfn.XLOOKUP(B91,ajus!$B$2:$B$420,ajus!$C$2:$C$420)</f>
        <v>MOGOTES - AUT [24025090; AO 08; MET; GPRS; FONDO ADAPTACION]</v>
      </c>
    </row>
    <row r="92" spans="2:9" hidden="1" x14ac:dyDescent="0.25">
      <c r="B92">
        <v>112</v>
      </c>
      <c r="C92" t="s">
        <v>502</v>
      </c>
      <c r="D92" t="s">
        <v>834</v>
      </c>
      <c r="E92" s="30">
        <v>0</v>
      </c>
      <c r="F92" t="s">
        <v>844</v>
      </c>
      <c r="G92" t="s">
        <v>832</v>
      </c>
      <c r="I92" t="str">
        <f>+_xlfn.XLOOKUP(B92,ajus!$B$2:$B$420,ajus!$C$2:$C$420)</f>
        <v>MONTELIBANO - AUT [25017010; AO 02; FONDO ADAPTACION]</v>
      </c>
    </row>
    <row r="93" spans="2:9" hidden="1" x14ac:dyDescent="0.25">
      <c r="B93">
        <v>113</v>
      </c>
      <c r="C93" t="s">
        <v>503</v>
      </c>
      <c r="D93" t="s">
        <v>834</v>
      </c>
      <c r="E93" s="30">
        <v>0</v>
      </c>
      <c r="F93" t="s">
        <v>844</v>
      </c>
      <c r="I93" t="str">
        <f>+_xlfn.XLOOKUP(B93,ajus!$B$2:$B$420,ajus!$C$2:$C$420)</f>
        <v>MONTERIA  - AUT [13067020; AO 02; FONDO ADAPTACION]</v>
      </c>
    </row>
    <row r="94" spans="2:9" hidden="1" x14ac:dyDescent="0.25">
      <c r="B94">
        <v>114</v>
      </c>
      <c r="C94" t="s">
        <v>504</v>
      </c>
      <c r="D94" t="s">
        <v>834</v>
      </c>
      <c r="E94" s="30">
        <v>0</v>
      </c>
      <c r="F94" t="s">
        <v>849</v>
      </c>
      <c r="I94" t="str">
        <f>+_xlfn.XLOOKUP(B94,ajus!$B$2:$B$420,ajus!$C$2:$C$420)</f>
        <v>LA MORA - AUT [21167080; TOL; HID; INMARSAT; AO10; FONDO ADAPTACION]</v>
      </c>
    </row>
    <row r="95" spans="2:9" hidden="1" x14ac:dyDescent="0.25">
      <c r="B95">
        <v>116</v>
      </c>
      <c r="C95" t="s">
        <v>505</v>
      </c>
      <c r="D95" t="s">
        <v>828</v>
      </c>
      <c r="E95" s="30">
        <v>0</v>
      </c>
      <c r="F95" t="s">
        <v>849</v>
      </c>
      <c r="G95" t="s">
        <v>830</v>
      </c>
      <c r="I95" t="str">
        <f>+_xlfn.XLOOKUP(B95,ajus!$B$2:$B$420,ajus!$C$2:$C$420)</f>
        <v>NATAIMA - AUT [21185090; AO 10; MET; GPRS; FONDO ADAPTACION]</v>
      </c>
    </row>
    <row r="96" spans="2:9" hidden="1" x14ac:dyDescent="0.25">
      <c r="B96">
        <v>118</v>
      </c>
      <c r="C96" t="s">
        <v>506</v>
      </c>
      <c r="D96" t="s">
        <v>828</v>
      </c>
      <c r="E96" s="30">
        <v>0</v>
      </c>
      <c r="F96" t="s">
        <v>842</v>
      </c>
      <c r="I96" t="str">
        <f>+_xlfn.XLOOKUP(B96,ajus!$B$2:$B$420,ajus!$C$2:$C$420)</f>
        <v>NEVADO SANTA ISABEL  - AUT [26135320; CAL; MET; INMARSAT; AO09; FONDO ADAPTACION]</v>
      </c>
    </row>
    <row r="97" spans="2:9" hidden="1" x14ac:dyDescent="0.25">
      <c r="B97">
        <v>119</v>
      </c>
      <c r="C97" t="s">
        <v>507</v>
      </c>
      <c r="D97" t="s">
        <v>828</v>
      </c>
      <c r="E97" s="30">
        <v>0</v>
      </c>
      <c r="F97" t="s">
        <v>839</v>
      </c>
      <c r="I97" t="str">
        <f>+_xlfn.XLOOKUP(B97,ajus!$B$2:$B$420,ajus!$C$2:$C$420)</f>
        <v>NEVADO DEL COCUY - AUT [24035380; AO06; MET; INMARSAT;  FONDO ADAPTACION]</v>
      </c>
    </row>
    <row r="98" spans="2:9" hidden="1" x14ac:dyDescent="0.25">
      <c r="B98">
        <v>120</v>
      </c>
      <c r="C98" t="s">
        <v>508</v>
      </c>
      <c r="D98" t="s">
        <v>828</v>
      </c>
      <c r="E98" s="30">
        <v>0</v>
      </c>
      <c r="F98" t="s">
        <v>849</v>
      </c>
      <c r="I98" t="str">
        <f>+_xlfn.XLOOKUP(B98,ajus!$B$2:$B$420,ajus!$C$2:$C$420)</f>
        <v>NEVADO DEL TOLIMA  - AUT [21215150; TOL; MET; INMARSAT; AO10; FONDO ADAPTACION]</v>
      </c>
    </row>
    <row r="99" spans="2:9" hidden="1" x14ac:dyDescent="0.25">
      <c r="B99">
        <v>121</v>
      </c>
      <c r="C99" t="s">
        <v>509</v>
      </c>
      <c r="D99" t="s">
        <v>828</v>
      </c>
      <c r="E99" s="30">
        <v>0</v>
      </c>
      <c r="F99" t="s">
        <v>844</v>
      </c>
      <c r="G99" t="s">
        <v>830</v>
      </c>
      <c r="I99" t="str">
        <f>+_xlfn.XLOOKUP(B99,ajus!$B$2:$B$420,ajus!$C$2:$C$420)</f>
        <v>NORMAL MANATI  - AUT [29035080; A0 02; FONDO ADAPTACION]</v>
      </c>
    </row>
    <row r="100" spans="2:9" hidden="1" x14ac:dyDescent="0.25">
      <c r="B100">
        <v>122</v>
      </c>
      <c r="C100" t="s">
        <v>510</v>
      </c>
      <c r="D100" t="s">
        <v>828</v>
      </c>
      <c r="E100" s="30">
        <v>0</v>
      </c>
      <c r="F100" t="s">
        <v>846</v>
      </c>
      <c r="G100" t="s">
        <v>832</v>
      </c>
      <c r="I100" t="str">
        <f>+_xlfn.XLOOKUP(B100,ajus!$B$2:$B$420,ajus!$C$2:$C$420)</f>
        <v>NUEVA GENERACION [21206600; AO11; FONDO ADAPTACION]</v>
      </c>
    </row>
    <row r="101" spans="2:9" hidden="1" x14ac:dyDescent="0.25">
      <c r="B101">
        <v>125</v>
      </c>
      <c r="C101" t="s">
        <v>511</v>
      </c>
      <c r="D101" t="s">
        <v>828</v>
      </c>
      <c r="E101" s="30">
        <v>0</v>
      </c>
      <c r="F101" t="s">
        <v>849</v>
      </c>
      <c r="I101" t="str">
        <f>+_xlfn.XLOOKUP(B101,ajus!$B$2:$B$420,ajus!$C$2:$C$420)</f>
        <v>HACIENDA PAJONALES [21255160; TOL; MET; INMARSAT; AO10; FONDO ADAPTACION]</v>
      </c>
    </row>
    <row r="102" spans="2:9" hidden="1" x14ac:dyDescent="0.25">
      <c r="B102">
        <v>126</v>
      </c>
      <c r="C102" t="s">
        <v>512</v>
      </c>
      <c r="D102" t="s">
        <v>828</v>
      </c>
      <c r="E102" s="30">
        <v>0</v>
      </c>
      <c r="F102" t="s">
        <v>849</v>
      </c>
      <c r="G102" t="s">
        <v>838</v>
      </c>
      <c r="I102" t="str">
        <f>+_xlfn.XLOOKUP(B102,ajus!$B$2:$B$420,ajus!$C$2:$C$420)</f>
        <v>BASE PALANQUERO  - AUT [23035030; CUN; MET; GOES: CB13F5EC; AO10; FONDO ADAPTACION]</v>
      </c>
    </row>
    <row r="103" spans="2:9" hidden="1" x14ac:dyDescent="0.25">
      <c r="B103">
        <v>127</v>
      </c>
      <c r="C103" t="s">
        <v>863</v>
      </c>
      <c r="D103" t="s">
        <v>834</v>
      </c>
      <c r="E103" s="30">
        <v>33</v>
      </c>
      <c r="F103" t="s">
        <v>831</v>
      </c>
      <c r="G103" t="s">
        <v>838</v>
      </c>
      <c r="I103" t="e">
        <f>+_xlfn.XLOOKUP(B103,ajus!$B$2:$B$420,ajus!$C$2:$C$420)</f>
        <v>#N/A</v>
      </c>
    </row>
    <row r="104" spans="2:9" hidden="1" x14ac:dyDescent="0.25">
      <c r="B104">
        <v>128</v>
      </c>
      <c r="C104" t="s">
        <v>864</v>
      </c>
      <c r="D104" t="s">
        <v>828</v>
      </c>
      <c r="E104" s="30">
        <v>0</v>
      </c>
      <c r="F104" t="s">
        <v>858</v>
      </c>
      <c r="G104" t="s">
        <v>832</v>
      </c>
      <c r="I104" t="e">
        <f>+_xlfn.XLOOKUP(B104,ajus!$B$2:$B$420,ajus!$C$2:$C$420)</f>
        <v>#N/A</v>
      </c>
    </row>
    <row r="105" spans="2:9" hidden="1" x14ac:dyDescent="0.25">
      <c r="B105">
        <v>129</v>
      </c>
      <c r="C105" t="s">
        <v>513</v>
      </c>
      <c r="D105" t="s">
        <v>828</v>
      </c>
      <c r="E105" s="30">
        <v>0</v>
      </c>
      <c r="F105" t="s">
        <v>846</v>
      </c>
      <c r="G105" t="s">
        <v>830</v>
      </c>
      <c r="I105" t="str">
        <f>+_xlfn.XLOOKUP(B105,ajus!$B$2:$B$420,ajus!$C$2:$C$420)</f>
        <v>PAQUILO [21195170; AO 11; FONDO ADAPTACION]</v>
      </c>
    </row>
    <row r="106" spans="2:9" hidden="1" x14ac:dyDescent="0.25">
      <c r="B106">
        <v>130</v>
      </c>
      <c r="C106" t="s">
        <v>514</v>
      </c>
      <c r="D106" t="s">
        <v>828</v>
      </c>
      <c r="E106" s="30">
        <v>0</v>
      </c>
      <c r="F106" t="s">
        <v>831</v>
      </c>
      <c r="I106" t="str">
        <f>+_xlfn.XLOOKUP(B106,ajus!$B$2:$B$420,ajus!$C$2:$C$420)</f>
        <v>PARAMO ALMORZADERO  - AUT [24035390; SAN; MET; INMARSAT; AO08; FONDO ADAPTACION]</v>
      </c>
    </row>
    <row r="107" spans="2:9" hidden="1" x14ac:dyDescent="0.25">
      <c r="B107">
        <v>131</v>
      </c>
      <c r="C107" t="s">
        <v>515</v>
      </c>
      <c r="D107" t="s">
        <v>828</v>
      </c>
      <c r="E107" s="30">
        <v>0</v>
      </c>
      <c r="F107" t="s">
        <v>849</v>
      </c>
      <c r="I107" t="str">
        <f>+_xlfn.XLOOKUP(B107,ajus!$B$2:$B$420,ajus!$C$2:$C$420)</f>
        <v>PARAMO DE YERBABUENA  - AUT [22075050; TOL; MET; INMARSAT; AO10; FONDO ADAPTACION]</v>
      </c>
    </row>
    <row r="108" spans="2:9" hidden="1" x14ac:dyDescent="0.25">
      <c r="B108">
        <v>132</v>
      </c>
      <c r="C108" t="s">
        <v>516</v>
      </c>
      <c r="D108" t="s">
        <v>828</v>
      </c>
      <c r="E108" s="30">
        <v>0</v>
      </c>
      <c r="F108" t="s">
        <v>829</v>
      </c>
      <c r="I108" t="str">
        <f>+_xlfn.XLOOKUP(B108,ajus!$B$2:$B$420,ajus!$C$2:$C$420)</f>
        <v>EL PARAISO - AUT [52055220; AO 07; MET; GPRS; FONDO ADAPTACION]</v>
      </c>
    </row>
    <row r="109" spans="2:9" hidden="1" x14ac:dyDescent="0.25">
      <c r="B109">
        <v>133</v>
      </c>
      <c r="C109" t="s">
        <v>517</v>
      </c>
      <c r="D109" t="s">
        <v>828</v>
      </c>
      <c r="E109" s="30">
        <v>0</v>
      </c>
      <c r="F109" t="s">
        <v>837</v>
      </c>
      <c r="I109" t="str">
        <f>+_xlfn.XLOOKUP(B109,ajus!$B$2:$B$420,ajus!$C$2:$C$420)</f>
        <v>PARAMO BELMIRA [27015280;AO 01;FONDO ADAPTACION]</v>
      </c>
    </row>
    <row r="110" spans="2:9" hidden="1" x14ac:dyDescent="0.25">
      <c r="B110">
        <v>134</v>
      </c>
      <c r="C110" t="s">
        <v>865</v>
      </c>
      <c r="D110" t="s">
        <v>834</v>
      </c>
      <c r="E110" s="30">
        <v>0</v>
      </c>
      <c r="F110" t="s">
        <v>839</v>
      </c>
      <c r="H110" t="s">
        <v>835</v>
      </c>
      <c r="I110" t="e">
        <f>+_xlfn.XLOOKUP(B110,ajus!$B$2:$B$420,ajus!$C$2:$C$420)</f>
        <v>#N/A</v>
      </c>
    </row>
    <row r="111" spans="2:9" hidden="1" x14ac:dyDescent="0.25">
      <c r="B111">
        <v>135</v>
      </c>
      <c r="C111" t="s">
        <v>518</v>
      </c>
      <c r="D111" t="s">
        <v>828</v>
      </c>
      <c r="E111" s="30">
        <v>0</v>
      </c>
      <c r="F111" t="s">
        <v>846</v>
      </c>
      <c r="G111" t="s">
        <v>830</v>
      </c>
      <c r="I111" t="str">
        <f>+_xlfn.XLOOKUP(B111,ajus!$B$2:$B$420,ajus!$C$2:$C$420)</f>
        <v>PASCA [21195190; AO11; FONDO ADAPTACION]</v>
      </c>
    </row>
    <row r="112" spans="2:9" hidden="1" x14ac:dyDescent="0.25">
      <c r="B112">
        <v>136</v>
      </c>
      <c r="C112" t="s">
        <v>519</v>
      </c>
      <c r="D112" t="s">
        <v>834</v>
      </c>
      <c r="E112" s="30">
        <v>0</v>
      </c>
      <c r="F112" t="s">
        <v>839</v>
      </c>
      <c r="G112" t="s">
        <v>830</v>
      </c>
      <c r="I112" t="str">
        <f>+_xlfn.XLOOKUP(B112,ajus!$B$2:$B$420,ajus!$C$2:$C$420)</f>
        <v>SAN RAFAEL  - AUT [24037190; AO 06; HID; GPRS;  FONDO ADAPTACION]</v>
      </c>
    </row>
    <row r="113" spans="2:9" x14ac:dyDescent="0.25">
      <c r="B113">
        <v>139</v>
      </c>
      <c r="C113" t="s">
        <v>520</v>
      </c>
      <c r="D113" t="s">
        <v>828</v>
      </c>
      <c r="E113" s="30">
        <v>0</v>
      </c>
      <c r="F113" t="s">
        <v>831</v>
      </c>
      <c r="G113" t="s">
        <v>830</v>
      </c>
      <c r="I113" t="str">
        <f>+_xlfn.XLOOKUP(B113,ajus!$B$2:$B$420,ajus!$C$2:$C$420)</f>
        <v>GRANJA PIEDECUESTA [2319500065; AO 08; MET; GPRS; FONDO ADAPTACION ]</v>
      </c>
    </row>
    <row r="114" spans="2:9" hidden="1" x14ac:dyDescent="0.25">
      <c r="B114">
        <v>140</v>
      </c>
      <c r="C114" t="s">
        <v>521</v>
      </c>
      <c r="D114" t="s">
        <v>834</v>
      </c>
      <c r="E114" s="30">
        <v>0</v>
      </c>
      <c r="F114" t="s">
        <v>849</v>
      </c>
      <c r="I114" t="str">
        <f>+_xlfn.XLOOKUP(B114,ajus!$B$2:$B$420,ajus!$C$2:$C$420)</f>
        <v>PIEDRAS DE COBRE  - AUT [22057010; TOL; HID; INMARSAT; AO10; FONDO ADAPTACION]</v>
      </c>
    </row>
    <row r="115" spans="2:9" hidden="1" x14ac:dyDescent="0.25">
      <c r="B115">
        <v>141</v>
      </c>
      <c r="C115" t="s">
        <v>522</v>
      </c>
      <c r="D115" t="s">
        <v>828</v>
      </c>
      <c r="E115" s="30">
        <v>0</v>
      </c>
      <c r="F115" t="s">
        <v>837</v>
      </c>
      <c r="G115" t="s">
        <v>832</v>
      </c>
      <c r="I115" t="str">
        <f>+_xlfn.XLOOKUP(B115,ajus!$B$2:$B$420,ajus!$C$2:$C$420)</f>
        <v>PISTA INDIRA [12015100;AO 01;FONDO ADAPTACION]</v>
      </c>
    </row>
    <row r="116" spans="2:9" hidden="1" x14ac:dyDescent="0.25">
      <c r="B116">
        <v>142</v>
      </c>
      <c r="C116" t="s">
        <v>523</v>
      </c>
      <c r="D116" t="s">
        <v>828</v>
      </c>
      <c r="E116" s="30">
        <v>0</v>
      </c>
      <c r="F116" t="s">
        <v>842</v>
      </c>
      <c r="G116" t="s">
        <v>838</v>
      </c>
      <c r="I116" t="str">
        <f>+_xlfn.XLOOKUP(B116,ajus!$B$2:$B$420,ajus!$C$2:$C$420)</f>
        <v>EL PLACER - AUT [26105240; VDC; MET; GOES; AO09; FONDO ADAPTACION]</v>
      </c>
    </row>
    <row r="117" spans="2:9" hidden="1" x14ac:dyDescent="0.25">
      <c r="B117">
        <v>143</v>
      </c>
      <c r="C117" t="s">
        <v>524</v>
      </c>
      <c r="D117" t="s">
        <v>828</v>
      </c>
      <c r="E117" s="30">
        <v>0</v>
      </c>
      <c r="F117" t="s">
        <v>844</v>
      </c>
      <c r="G117" t="s">
        <v>832</v>
      </c>
      <c r="I117" t="str">
        <f>+_xlfn.XLOOKUP(B117,ajus!$B$2:$B$420,ajus!$C$2:$C$420)</f>
        <v>PLANETA RICA  - AUT [25025190; AO 02; FONDO ADAPTACION]</v>
      </c>
    </row>
    <row r="118" spans="2:9" hidden="1" x14ac:dyDescent="0.25">
      <c r="B118">
        <v>144</v>
      </c>
      <c r="C118" t="s">
        <v>525</v>
      </c>
      <c r="D118" t="s">
        <v>828</v>
      </c>
      <c r="E118" s="30">
        <v>0</v>
      </c>
      <c r="F118" t="s">
        <v>836</v>
      </c>
      <c r="H118" t="s">
        <v>860</v>
      </c>
      <c r="I118" t="str">
        <f>+_xlfn.XLOOKUP(B118,ajus!$B$2:$B$420,ajus!$C$2:$C$420)</f>
        <v>LA PLATA - AUT [21115170; HUI; MET; INMARSAT; AO04; FONDO ADAPTACION]</v>
      </c>
    </row>
    <row r="119" spans="2:9" hidden="1" x14ac:dyDescent="0.25">
      <c r="B119">
        <v>145</v>
      </c>
      <c r="C119" t="s">
        <v>526</v>
      </c>
      <c r="D119" t="s">
        <v>828</v>
      </c>
      <c r="E119" s="30">
        <v>0</v>
      </c>
      <c r="F119" t="s">
        <v>842</v>
      </c>
      <c r="I119" t="str">
        <f>+_xlfn.XLOOKUP(B119,ajus!$B$2:$B$420,ajus!$C$2:$C$420)</f>
        <v>PARAMO CONEJERAS  - AUT [26155250; CAL; MET; INMARSAT; AO09; FONDO ADAPTACION]</v>
      </c>
    </row>
    <row r="120" spans="2:9" hidden="1" x14ac:dyDescent="0.25">
      <c r="B120">
        <v>146</v>
      </c>
      <c r="C120" t="s">
        <v>527</v>
      </c>
      <c r="D120" t="s">
        <v>828</v>
      </c>
      <c r="E120" s="30">
        <v>0</v>
      </c>
      <c r="F120" t="s">
        <v>846</v>
      </c>
      <c r="G120" t="s">
        <v>838</v>
      </c>
      <c r="I120" t="str">
        <f>+_xlfn.XLOOKUP(B120,ajus!$B$2:$B$420,ajus!$C$2:$C$420)</f>
        <v>PNN CHINGAZA [35025080; AO11; FONDO ADAPTACION]</v>
      </c>
    </row>
    <row r="121" spans="2:9" hidden="1" x14ac:dyDescent="0.25">
      <c r="B121">
        <v>147</v>
      </c>
      <c r="C121" t="s">
        <v>528</v>
      </c>
      <c r="D121" t="s">
        <v>828</v>
      </c>
      <c r="E121" s="30">
        <v>0</v>
      </c>
      <c r="F121" t="s">
        <v>842</v>
      </c>
      <c r="I121" t="str">
        <f>+_xlfn.XLOOKUP(B121,ajus!$B$2:$B$420,ajus!$C$2:$C$420)</f>
        <v>PNN NEVADOS - AUT [26155240; CAL; MET; INMARSAT; AO09; FONDO ADAPTACION]</v>
      </c>
    </row>
    <row r="122" spans="2:9" hidden="1" x14ac:dyDescent="0.25">
      <c r="B122">
        <v>148</v>
      </c>
      <c r="C122" t="s">
        <v>529</v>
      </c>
      <c r="D122" t="s">
        <v>828</v>
      </c>
      <c r="E122" s="30">
        <v>0</v>
      </c>
      <c r="F122" t="s">
        <v>842</v>
      </c>
      <c r="I122" t="str">
        <f>+_xlfn.XLOOKUP(B122,ajus!$B$2:$B$420,ajus!$C$2:$C$420)</f>
        <v>PNN PURACE - AUT [26015030; AO09; FONDO ADAPTACION]</v>
      </c>
    </row>
    <row r="123" spans="2:9" hidden="1" x14ac:dyDescent="0.25">
      <c r="B123">
        <v>149</v>
      </c>
      <c r="C123" t="s">
        <v>530</v>
      </c>
      <c r="D123" t="s">
        <v>828</v>
      </c>
      <c r="E123" s="30">
        <v>0</v>
      </c>
      <c r="F123" t="s">
        <v>842</v>
      </c>
      <c r="G123" t="s">
        <v>830</v>
      </c>
      <c r="I123" t="str">
        <f>+_xlfn.XLOOKUP(B123,ajus!$B$2:$B$420,ajus!$C$2:$C$420)</f>
        <v>PNN QUIMBAYA - AUT [26135300; RIS; MET; GPRS; AO09; FONDO ADAPTACION]</v>
      </c>
    </row>
    <row r="124" spans="2:9" hidden="1" x14ac:dyDescent="0.25">
      <c r="B124">
        <v>150</v>
      </c>
      <c r="C124" t="s">
        <v>866</v>
      </c>
      <c r="D124" t="s">
        <v>828</v>
      </c>
      <c r="E124" s="30">
        <v>0</v>
      </c>
      <c r="F124" t="s">
        <v>846</v>
      </c>
      <c r="I124" t="e">
        <f>+_xlfn.XLOOKUP(B124,ajus!$B$2:$B$420,ajus!$C$2:$C$420)</f>
        <v>#N/A</v>
      </c>
    </row>
    <row r="125" spans="2:9" hidden="1" x14ac:dyDescent="0.25">
      <c r="B125">
        <v>151</v>
      </c>
      <c r="C125" t="s">
        <v>867</v>
      </c>
      <c r="D125" t="s">
        <v>828</v>
      </c>
      <c r="E125" s="30">
        <v>0</v>
      </c>
      <c r="F125" t="s">
        <v>836</v>
      </c>
      <c r="G125" t="s">
        <v>830</v>
      </c>
      <c r="I125" t="e">
        <f>+_xlfn.XLOOKUP(B125,ajus!$B$2:$B$420,ajus!$C$2:$C$420)</f>
        <v>#N/A</v>
      </c>
    </row>
    <row r="126" spans="2:9" hidden="1" x14ac:dyDescent="0.25">
      <c r="B126">
        <v>152</v>
      </c>
      <c r="C126" t="s">
        <v>531</v>
      </c>
      <c r="D126" t="s">
        <v>828</v>
      </c>
      <c r="E126" s="30">
        <v>0</v>
      </c>
      <c r="F126" t="s">
        <v>846</v>
      </c>
      <c r="G126" t="s">
        <v>838</v>
      </c>
      <c r="I126" t="str">
        <f>+_xlfn.XLOOKUP(B126,ajus!$B$2:$B$420,ajus!$C$2:$C$420)</f>
        <v>PARAMO CHINGAZA [35035130; AO11; FONDO ADAPTACION]</v>
      </c>
    </row>
    <row r="127" spans="2:9" hidden="1" x14ac:dyDescent="0.25">
      <c r="B127">
        <v>153</v>
      </c>
      <c r="C127" t="s">
        <v>532</v>
      </c>
      <c r="D127" t="s">
        <v>828</v>
      </c>
      <c r="E127" s="30">
        <v>0</v>
      </c>
      <c r="F127" t="s">
        <v>846</v>
      </c>
      <c r="I127" t="str">
        <f>+_xlfn.XLOOKUP(B127,ajus!$B$2:$B$420,ajus!$C$2:$C$420)</f>
        <v>PARAMO GUERRERO [21206930; AO11; FONDO ADAPTACION]</v>
      </c>
    </row>
    <row r="128" spans="2:9" hidden="1" x14ac:dyDescent="0.25">
      <c r="B128">
        <v>154</v>
      </c>
      <c r="C128" t="s">
        <v>533</v>
      </c>
      <c r="D128" t="s">
        <v>828</v>
      </c>
      <c r="E128" s="30">
        <v>0</v>
      </c>
      <c r="F128" t="s">
        <v>839</v>
      </c>
      <c r="I128" t="str">
        <f>+_xlfn.XLOOKUP(B128,ajus!$B$2:$B$420,ajus!$C$2:$C$420)</f>
        <v>PARAMO RABANAL - AUT [35075080; AO06; MET; INMARSAT; FONDO ADAPTACION]</v>
      </c>
    </row>
    <row r="129" spans="2:9" hidden="1" x14ac:dyDescent="0.25">
      <c r="B129">
        <v>155</v>
      </c>
      <c r="C129" t="s">
        <v>534</v>
      </c>
      <c r="D129" t="s">
        <v>834</v>
      </c>
      <c r="E129" s="30">
        <v>0</v>
      </c>
      <c r="F129" t="s">
        <v>846</v>
      </c>
      <c r="I129" t="str">
        <f>+_xlfn.XLOOKUP(B129,ajus!$B$2:$B$420,ajus!$C$2:$C$420)</f>
        <v>EL PROFUNDO [21197010; AO 11; FONDO ADAPTACION]</v>
      </c>
    </row>
    <row r="130" spans="2:9" hidden="1" x14ac:dyDescent="0.25">
      <c r="B130">
        <v>157</v>
      </c>
      <c r="C130" t="s">
        <v>535</v>
      </c>
      <c r="D130" t="s">
        <v>834</v>
      </c>
      <c r="E130" s="30">
        <v>0</v>
      </c>
      <c r="F130" t="s">
        <v>858</v>
      </c>
      <c r="I130" t="str">
        <f>+_xlfn.XLOOKUP(B130,ajus!$B$2:$B$420,ajus!$C$2:$C$420)</f>
        <v>PUENTE ABADIA - AUT [35037100;AO 03;FONDO ADAPTACION]</v>
      </c>
    </row>
    <row r="131" spans="2:9" hidden="1" x14ac:dyDescent="0.25">
      <c r="B131">
        <v>158</v>
      </c>
      <c r="C131" t="s">
        <v>536</v>
      </c>
      <c r="D131" t="s">
        <v>834</v>
      </c>
      <c r="E131" s="30">
        <v>0</v>
      </c>
      <c r="F131" t="s">
        <v>846</v>
      </c>
      <c r="I131" t="str">
        <f>+_xlfn.XLOOKUP(B131,ajus!$B$2:$B$420,ajus!$C$2:$C$420)</f>
        <v>CHARCO LARGO [23067080; AO11; FONDO ADAPTACION]</v>
      </c>
    </row>
    <row r="132" spans="2:9" hidden="1" x14ac:dyDescent="0.25">
      <c r="B132">
        <v>159</v>
      </c>
      <c r="C132" t="s">
        <v>537</v>
      </c>
      <c r="D132" t="s">
        <v>834</v>
      </c>
      <c r="E132" s="30">
        <v>0</v>
      </c>
      <c r="F132" t="s">
        <v>831</v>
      </c>
      <c r="I132" t="str">
        <f>+_xlfn.XLOOKUP(B132,ajus!$B$2:$B$420,ajus!$C$2:$C$420)</f>
        <v>PUENTE CAPIRA - AUT [16027300; NDS; HID; INMARSAT; AO08; FONDO ADAPTACION]</v>
      </c>
    </row>
    <row r="133" spans="2:9" hidden="1" x14ac:dyDescent="0.25">
      <c r="B133">
        <v>160</v>
      </c>
      <c r="C133" t="s">
        <v>538</v>
      </c>
      <c r="D133" t="s">
        <v>834</v>
      </c>
      <c r="E133" s="30">
        <v>0</v>
      </c>
      <c r="F133" t="s">
        <v>849</v>
      </c>
      <c r="I133" t="str">
        <f>+_xlfn.XLOOKUP(B133,ajus!$B$2:$B$420,ajus!$C$2:$C$420)</f>
        <v>PUENTE GATO NEGRO  - AUT [21257120; TOL; HID; INMARSAT; AO10; FONDO ADAPTACION]</v>
      </c>
    </row>
    <row r="134" spans="2:9" hidden="1" x14ac:dyDescent="0.25">
      <c r="B134">
        <v>161</v>
      </c>
      <c r="C134" t="s">
        <v>539</v>
      </c>
      <c r="D134" t="s">
        <v>834</v>
      </c>
      <c r="E134" s="30">
        <v>0</v>
      </c>
      <c r="F134" t="s">
        <v>858</v>
      </c>
      <c r="G134" t="s">
        <v>830</v>
      </c>
      <c r="I134" t="str">
        <f>+_xlfn.XLOOKUP(B134,ajus!$B$2:$B$420,ajus!$C$2:$C$420)</f>
        <v>PUENTE LLERAS - AUT [35017020;AO 03;FONDO ADAPTACION]</v>
      </c>
    </row>
    <row r="135" spans="2:9" hidden="1" x14ac:dyDescent="0.25">
      <c r="B135">
        <v>162</v>
      </c>
      <c r="C135" t="s">
        <v>540</v>
      </c>
      <c r="D135" t="s">
        <v>834</v>
      </c>
      <c r="E135" s="30">
        <v>0</v>
      </c>
      <c r="F135" t="s">
        <v>829</v>
      </c>
      <c r="I135" t="str">
        <f>+_xlfn.XLOOKUP(B135,ajus!$B$2:$B$420,ajus!$C$2:$C$420)</f>
        <v>PUENTE PUSMEO - AUT [52077010; AO-07; FONDO ADAPTACION]</v>
      </c>
    </row>
    <row r="136" spans="2:9" hidden="1" x14ac:dyDescent="0.25">
      <c r="B136">
        <v>163</v>
      </c>
      <c r="C136" t="s">
        <v>541</v>
      </c>
      <c r="D136" t="s">
        <v>834</v>
      </c>
      <c r="E136" s="30">
        <v>0</v>
      </c>
      <c r="F136" t="s">
        <v>858</v>
      </c>
      <c r="I136" t="str">
        <f>+_xlfn.XLOOKUP(B136,ajus!$B$2:$B$420,ajus!$C$2:$C$420)</f>
        <v>PUERTO ANGOSTURAS - AUT [32067030; AO 03;IDEAM]</v>
      </c>
    </row>
    <row r="137" spans="2:9" hidden="1" x14ac:dyDescent="0.25">
      <c r="B137">
        <v>164</v>
      </c>
      <c r="C137" t="s">
        <v>542</v>
      </c>
      <c r="D137" t="s">
        <v>828</v>
      </c>
      <c r="E137" s="30">
        <v>0</v>
      </c>
      <c r="F137" t="s">
        <v>849</v>
      </c>
      <c r="I137" t="str">
        <f>+_xlfn.XLOOKUP(B137,ajus!$B$2:$B$420,ajus!$C$2:$C$420)</f>
        <v>PUERTO LLERAS TOLIMA  - AUT [21160260; TOL; MET; INMARSAT; AO10; FONDO ADAPTACION]</v>
      </c>
    </row>
    <row r="138" spans="2:9" hidden="1" x14ac:dyDescent="0.25">
      <c r="B138">
        <v>165</v>
      </c>
      <c r="C138" t="s">
        <v>543</v>
      </c>
      <c r="D138" t="s">
        <v>834</v>
      </c>
      <c r="E138" s="30">
        <v>0</v>
      </c>
      <c r="F138" t="s">
        <v>849</v>
      </c>
      <c r="I138" t="str">
        <f>+_xlfn.XLOOKUP(B138,ajus!$B$2:$B$420,ajus!$C$2:$C$420)</f>
        <v>PUERTO SALGAR - AUT [23037010; AO 10; HID; GPRS; FONDO ADAPTACION]</v>
      </c>
    </row>
    <row r="139" spans="2:9" hidden="1" x14ac:dyDescent="0.25">
      <c r="B139">
        <v>166</v>
      </c>
      <c r="C139" t="s">
        <v>544</v>
      </c>
      <c r="D139" t="s">
        <v>834</v>
      </c>
      <c r="E139" s="30">
        <v>0</v>
      </c>
      <c r="F139" t="s">
        <v>836</v>
      </c>
      <c r="I139" t="str">
        <f>+_xlfn.XLOOKUP(B139,ajus!$B$2:$B$420,ajus!$C$2:$C$420)</f>
        <v>PUEBLO NUEVO - AUT [21117100; HUI; HID; INMARSAT; AO04; FONDO ADAPTACION]</v>
      </c>
    </row>
    <row r="140" spans="2:9" hidden="1" x14ac:dyDescent="0.25">
      <c r="B140">
        <v>168</v>
      </c>
      <c r="C140" t="s">
        <v>545</v>
      </c>
      <c r="D140" t="s">
        <v>828</v>
      </c>
      <c r="E140" s="30">
        <v>0</v>
      </c>
      <c r="F140" t="s">
        <v>836</v>
      </c>
      <c r="I140" t="str">
        <f>+_xlfn.XLOOKUP(B140,ajus!$B$2:$B$420,ajus!$C$2:$C$420)</f>
        <v>PURACE  - AUT [21015050; HUI; MET; INMARSAT; AO04; FONDO ADAPTACION]</v>
      </c>
    </row>
    <row r="141" spans="2:9" hidden="1" x14ac:dyDescent="0.25">
      <c r="B141">
        <v>169</v>
      </c>
      <c r="C141" t="s">
        <v>546</v>
      </c>
      <c r="D141" t="s">
        <v>828</v>
      </c>
      <c r="E141" s="30">
        <v>0</v>
      </c>
      <c r="F141" t="s">
        <v>846</v>
      </c>
      <c r="G141" t="s">
        <v>830</v>
      </c>
      <c r="I141" t="str">
        <f>+_xlfn.XLOOKUP(B141,ajus!$B$2:$B$420,ajus!$C$2:$C$420)</f>
        <v>QUEBRADA NEGRA [23065190; AO 11; FONDO ADAPTACION]</v>
      </c>
    </row>
    <row r="142" spans="2:9" hidden="1" x14ac:dyDescent="0.25">
      <c r="B142">
        <v>172</v>
      </c>
      <c r="C142" t="s">
        <v>547</v>
      </c>
      <c r="D142" t="s">
        <v>834</v>
      </c>
      <c r="E142" s="30">
        <v>0</v>
      </c>
      <c r="F142" t="s">
        <v>842</v>
      </c>
      <c r="G142" t="s">
        <v>838</v>
      </c>
      <c r="I142" t="str">
        <f>+_xlfn.XLOOKUP(B142,ajus!$B$2:$B$420,ajus!$C$2:$C$420)</f>
        <v>EL RETEN - AUT [26137220;GOES; AO09; FONDO ADAPTACION]</v>
      </c>
    </row>
    <row r="143" spans="2:9" hidden="1" x14ac:dyDescent="0.25">
      <c r="B143">
        <v>173</v>
      </c>
      <c r="C143" t="s">
        <v>548</v>
      </c>
      <c r="D143" t="s">
        <v>828</v>
      </c>
      <c r="E143" s="30">
        <v>0</v>
      </c>
      <c r="F143" t="s">
        <v>842</v>
      </c>
      <c r="I143" t="str">
        <f>+_xlfn.XLOOKUP(B143,ajus!$B$2:$B$420,ajus!$C$2:$C$420)</f>
        <v>RIO CLARO - AUT [26157190; CAL; HID; INMARSAT; AO09; FONDO ADAPTACION]</v>
      </c>
    </row>
    <row r="144" spans="2:9" hidden="1" x14ac:dyDescent="0.25">
      <c r="B144">
        <v>174</v>
      </c>
      <c r="C144" t="s">
        <v>549</v>
      </c>
      <c r="D144" t="s">
        <v>828</v>
      </c>
      <c r="E144" s="30">
        <v>0</v>
      </c>
      <c r="F144" t="s">
        <v>839</v>
      </c>
      <c r="G144" t="s">
        <v>830</v>
      </c>
      <c r="I144" t="str">
        <f>+_xlfn.XLOOKUP(B144,ajus!$B$2:$B$420,ajus!$C$2:$C$420)</f>
        <v>BORBUR  2 - AUT [23120250; AO06; MET;  FONDO ADAPTACION]</v>
      </c>
    </row>
    <row r="145" spans="2:9" hidden="1" x14ac:dyDescent="0.25">
      <c r="B145">
        <v>175</v>
      </c>
      <c r="C145" t="s">
        <v>550</v>
      </c>
      <c r="D145" t="s">
        <v>828</v>
      </c>
      <c r="E145" s="30">
        <v>0</v>
      </c>
      <c r="F145" t="s">
        <v>836</v>
      </c>
      <c r="I145" t="str">
        <f>+_xlfn.XLOOKUP(B145,ajus!$B$2:$B$420,ajus!$C$2:$C$420)</f>
        <v>SAN VICENTE DEL CAGUAN  - AUT [46015030; CAQ; MET; INMARSAT; AO04; FONDO ADAPTACION]</v>
      </c>
    </row>
    <row r="146" spans="2:9" hidden="1" x14ac:dyDescent="0.25">
      <c r="B146">
        <v>176</v>
      </c>
      <c r="C146" t="s">
        <v>551</v>
      </c>
      <c r="D146" t="s">
        <v>828</v>
      </c>
      <c r="E146" s="30">
        <v>0</v>
      </c>
      <c r="F146" t="s">
        <v>831</v>
      </c>
      <c r="G146" t="s">
        <v>832</v>
      </c>
      <c r="I146" t="str">
        <f>+_xlfn.XLOOKUP(B146,ajus!$B$2:$B$420,ajus!$C$2:$C$420)</f>
        <v>SAN  VICENTE DE CHUCURI  - AUT [24055070; AO 08; MET; GPRS; FONDO ADAPTACION]</v>
      </c>
    </row>
    <row r="147" spans="2:9" hidden="1" x14ac:dyDescent="0.25">
      <c r="B147">
        <v>177</v>
      </c>
      <c r="C147" t="s">
        <v>552</v>
      </c>
      <c r="D147" t="s">
        <v>828</v>
      </c>
      <c r="E147" s="30">
        <v>0</v>
      </c>
      <c r="F147" t="s">
        <v>831</v>
      </c>
      <c r="G147" t="s">
        <v>868</v>
      </c>
      <c r="I147" t="str">
        <f>+_xlfn.XLOOKUP(B147,ajus!$B$2:$B$420,ajus!$C$2:$C$420)</f>
        <v>SABANA DE TORRES [23180070; AO 08; MET; GPRS; FONDO ADAPTACION]</v>
      </c>
    </row>
    <row r="148" spans="2:9" hidden="1" x14ac:dyDescent="0.25">
      <c r="B148">
        <v>179</v>
      </c>
      <c r="C148" t="s">
        <v>553</v>
      </c>
      <c r="D148" t="s">
        <v>828</v>
      </c>
      <c r="E148" s="30">
        <v>0</v>
      </c>
      <c r="F148" t="s">
        <v>842</v>
      </c>
      <c r="I148" t="str">
        <f>+_xlfn.XLOOKUP(B148,ajus!$B$2:$B$420,ajus!$C$2:$C$420)</f>
        <v>SAN ANTONIO CALDAS - AUT [26155270; CAL; MET; INMARSAT; AO09; FONDO ADAPTACION]</v>
      </c>
    </row>
    <row r="149" spans="2:9" hidden="1" x14ac:dyDescent="0.25">
      <c r="B149">
        <v>180</v>
      </c>
      <c r="C149" t="s">
        <v>554</v>
      </c>
      <c r="D149" t="s">
        <v>828</v>
      </c>
      <c r="E149" s="30">
        <v>0</v>
      </c>
      <c r="F149" t="s">
        <v>842</v>
      </c>
      <c r="I149" t="str">
        <f>+_xlfn.XLOOKUP(B149,ajus!$B$2:$B$420,ajus!$C$2:$C$420)</f>
        <v>PALETARA  - AUT [26015050;CAU; MET; INMARSAT; AO09; FONDO ADAPTACION]</v>
      </c>
    </row>
    <row r="150" spans="2:9" hidden="1" x14ac:dyDescent="0.25">
      <c r="B150">
        <v>181</v>
      </c>
      <c r="C150" t="s">
        <v>555</v>
      </c>
      <c r="D150" t="s">
        <v>834</v>
      </c>
      <c r="E150" s="30">
        <v>0</v>
      </c>
      <c r="F150" t="s">
        <v>837</v>
      </c>
      <c r="G150" t="s">
        <v>830</v>
      </c>
      <c r="I150" t="str">
        <f>+_xlfn.XLOOKUP(B150,ajus!$B$2:$B$420,ajus!$C$2:$C$420)</f>
        <v>LA GALERA [26217010;AO 01;FONDO ADAPTACION]</v>
      </c>
    </row>
    <row r="151" spans="2:9" hidden="1" x14ac:dyDescent="0.25">
      <c r="B151">
        <v>183</v>
      </c>
      <c r="C151" t="s">
        <v>556</v>
      </c>
      <c r="D151" t="s">
        <v>828</v>
      </c>
      <c r="E151" s="30">
        <v>0</v>
      </c>
      <c r="F151" t="s">
        <v>846</v>
      </c>
      <c r="G151" t="s">
        <v>832</v>
      </c>
      <c r="I151" t="str">
        <f>+_xlfn.XLOOKUP(B151,ajus!$B$2:$B$420,ajus!$C$2:$C$420)</f>
        <v>SAN CAYETANO [23125170; AO11; FONDO ADAPTACION]</v>
      </c>
    </row>
    <row r="152" spans="2:9" hidden="1" x14ac:dyDescent="0.25">
      <c r="B152">
        <v>184</v>
      </c>
      <c r="C152" t="s">
        <v>557</v>
      </c>
      <c r="D152" t="s">
        <v>828</v>
      </c>
      <c r="E152" s="30">
        <v>0</v>
      </c>
      <c r="F152" t="s">
        <v>844</v>
      </c>
      <c r="I152" t="str">
        <f>+_xlfn.XLOOKUP(B152,ajus!$B$2:$B$420,ajus!$C$2:$C$420)</f>
        <v>SAN MARCOS - AUT [25025340; AO02; FONDO ADAPTACION]</v>
      </c>
    </row>
    <row r="153" spans="2:9" hidden="1" x14ac:dyDescent="0.25">
      <c r="B153">
        <v>185</v>
      </c>
      <c r="C153" t="s">
        <v>558</v>
      </c>
      <c r="D153" t="s">
        <v>834</v>
      </c>
      <c r="E153" s="30">
        <v>0</v>
      </c>
      <c r="F153" t="s">
        <v>849</v>
      </c>
      <c r="I153" t="str">
        <f>+_xlfn.XLOOKUP(B153,ajus!$B$2:$B$420,ajus!$C$2:$C$420)</f>
        <v>SAN PABLO TOLIMA  - AUT [21167060; TOL; HID; INMARSAT; AO10; FONDO ADAPTACION]</v>
      </c>
    </row>
    <row r="154" spans="2:9" hidden="1" x14ac:dyDescent="0.25">
      <c r="B154">
        <v>187</v>
      </c>
      <c r="C154" t="s">
        <v>559</v>
      </c>
      <c r="D154" t="s">
        <v>834</v>
      </c>
      <c r="E154" s="30">
        <v>0</v>
      </c>
      <c r="F154" t="s">
        <v>844</v>
      </c>
      <c r="G154" t="s">
        <v>838</v>
      </c>
      <c r="I154" t="str">
        <f>+_xlfn.XLOOKUP(B154,ajus!$B$2:$B$420,ajus!$C$2:$C$420)</f>
        <v>SAN PEDRO - AUT [25017020; AO02; FONDO ADAPTACION]</v>
      </c>
    </row>
    <row r="155" spans="2:9" hidden="1" x14ac:dyDescent="0.25">
      <c r="B155">
        <v>188</v>
      </c>
      <c r="C155" t="s">
        <v>560</v>
      </c>
      <c r="D155" t="s">
        <v>828</v>
      </c>
      <c r="E155" s="30">
        <v>0</v>
      </c>
      <c r="F155" t="s">
        <v>837</v>
      </c>
      <c r="G155" t="s">
        <v>830</v>
      </c>
      <c r="I155" t="str">
        <f>+_xlfn.XLOOKUP(B155,ajus!$B$2:$B$420,ajus!$C$2:$C$420)</f>
        <v>SANTA BARBARA [26185050;AO 01;FONDO ADAPTACION]</v>
      </c>
    </row>
    <row r="156" spans="2:9" hidden="1" x14ac:dyDescent="0.25">
      <c r="B156">
        <v>189</v>
      </c>
      <c r="C156" t="s">
        <v>561</v>
      </c>
      <c r="D156" t="s">
        <v>828</v>
      </c>
      <c r="E156" s="30">
        <v>0</v>
      </c>
      <c r="F156" t="s">
        <v>839</v>
      </c>
      <c r="G156" t="s">
        <v>830</v>
      </c>
      <c r="I156" t="str">
        <f>+_xlfn.XLOOKUP(B156,ajus!$B$2:$B$420,ajus!$C$2:$C$420)</f>
        <v>SANTA MARIA - AUT [35085070; AO06; MET; GPRS; PURAC]</v>
      </c>
    </row>
    <row r="157" spans="2:9" hidden="1" x14ac:dyDescent="0.25">
      <c r="B157">
        <v>190</v>
      </c>
      <c r="C157" t="s">
        <v>869</v>
      </c>
      <c r="D157" t="s">
        <v>834</v>
      </c>
      <c r="E157" s="30">
        <v>0</v>
      </c>
      <c r="F157" t="s">
        <v>846</v>
      </c>
      <c r="G157" t="s">
        <v>832</v>
      </c>
      <c r="I157" t="e">
        <f>+_xlfn.XLOOKUP(B157,ajus!$B$2:$B$420,ajus!$C$2:$C$420)</f>
        <v>#N/A</v>
      </c>
    </row>
    <row r="158" spans="2:9" hidden="1" x14ac:dyDescent="0.25">
      <c r="B158">
        <v>192</v>
      </c>
      <c r="C158" t="s">
        <v>870</v>
      </c>
      <c r="D158" t="s">
        <v>828</v>
      </c>
      <c r="E158" s="30">
        <v>0</v>
      </c>
      <c r="F158" t="s">
        <v>831</v>
      </c>
      <c r="G158" t="s">
        <v>871</v>
      </c>
      <c r="I158" t="e">
        <f>+_xlfn.XLOOKUP(B158,ajus!$B$2:$B$420,ajus!$C$2:$C$420)</f>
        <v>#N/A</v>
      </c>
    </row>
    <row r="159" spans="2:9" hidden="1" x14ac:dyDescent="0.25">
      <c r="B159">
        <v>193</v>
      </c>
      <c r="C159" t="s">
        <v>562</v>
      </c>
      <c r="D159" t="s">
        <v>828</v>
      </c>
      <c r="E159" s="30">
        <v>0</v>
      </c>
      <c r="F159" t="s">
        <v>831</v>
      </c>
      <c r="I159" t="str">
        <f>+_xlfn.XLOOKUP(B159,ajus!$B$2:$B$420,ajus!$C$2:$C$420)</f>
        <v>SARDINATA [16035030; AO 08; MET; GPRS; FONDO ADAPTACION]</v>
      </c>
    </row>
    <row r="160" spans="2:9" hidden="1" x14ac:dyDescent="0.25">
      <c r="B160">
        <v>194</v>
      </c>
      <c r="C160" t="s">
        <v>563</v>
      </c>
      <c r="D160" t="s">
        <v>828</v>
      </c>
      <c r="E160" s="30">
        <v>0</v>
      </c>
      <c r="F160" t="s">
        <v>847</v>
      </c>
      <c r="G160" t="s">
        <v>872</v>
      </c>
      <c r="I160" t="str">
        <f>+_xlfn.XLOOKUP(B160,ajus!$B$2:$B$420,ajus!$C$2:$C$420)</f>
        <v>SERRANIA DEL PERIJA  - AUT [28025120; CES; MET; INMARSAT; AO05; FONDO ADAPTACION]</v>
      </c>
    </row>
    <row r="161" spans="2:9" hidden="1" x14ac:dyDescent="0.25">
      <c r="B161">
        <v>195</v>
      </c>
      <c r="C161" t="s">
        <v>564</v>
      </c>
      <c r="D161" t="s">
        <v>828</v>
      </c>
      <c r="E161" s="30">
        <v>0</v>
      </c>
      <c r="F161" t="s">
        <v>829</v>
      </c>
      <c r="I161" t="str">
        <f>+_xlfn.XLOOKUP(B161,ajus!$B$2:$B$420,ajus!$C$2:$C$420)</f>
        <v>LA SIERRA - AUT [52025090; AO 07; MET; GPRS; FONDO ADAPTACION]</v>
      </c>
    </row>
    <row r="162" spans="2:9" hidden="1" x14ac:dyDescent="0.25">
      <c r="B162">
        <v>196</v>
      </c>
      <c r="C162" t="s">
        <v>565</v>
      </c>
      <c r="D162" t="s">
        <v>834</v>
      </c>
      <c r="E162" s="30">
        <v>0</v>
      </c>
      <c r="F162" t="s">
        <v>842</v>
      </c>
      <c r="I162" t="str">
        <f>+_xlfn.XLOOKUP(B162,ajus!$B$2:$B$420,ajus!$C$2:$C$420)</f>
        <v>SIETECUERALES - AUT [26157200; CAL; HID; INMARSAT; AO09; FONDO ADAPTACION]</v>
      </c>
    </row>
    <row r="163" spans="2:9" hidden="1" x14ac:dyDescent="0.25">
      <c r="B163">
        <v>197</v>
      </c>
      <c r="C163" t="s">
        <v>566</v>
      </c>
      <c r="D163" t="s">
        <v>828</v>
      </c>
      <c r="E163" s="30">
        <v>0</v>
      </c>
      <c r="F163" t="s">
        <v>842</v>
      </c>
      <c r="G163" t="s">
        <v>832</v>
      </c>
      <c r="I163" t="str">
        <f>+_xlfn.XLOOKUP(B163,ajus!$B$2:$B$420,ajus!$C$2:$C$420)</f>
        <v>SILOE - AUT [26085160; AO 09; MET; GPRS; FONDO ADAPTACION]</v>
      </c>
    </row>
    <row r="164" spans="2:9" hidden="1" x14ac:dyDescent="0.25">
      <c r="B164">
        <v>198</v>
      </c>
      <c r="C164" t="s">
        <v>567</v>
      </c>
      <c r="D164" t="s">
        <v>828</v>
      </c>
      <c r="E164" s="30">
        <v>0</v>
      </c>
      <c r="F164" t="s">
        <v>844</v>
      </c>
      <c r="G164" t="s">
        <v>832</v>
      </c>
      <c r="I164" t="str">
        <f>+_xlfn.XLOOKUP(B164,ajus!$B$2:$B$420,ajus!$C$2:$C$420)</f>
        <v>SINCERIN  - AUT [29035000; AO 02; MET; GPRS; FONDO ADAPTACION]</v>
      </c>
    </row>
    <row r="165" spans="2:9" hidden="1" x14ac:dyDescent="0.25">
      <c r="B165">
        <v>199</v>
      </c>
      <c r="C165" t="s">
        <v>568</v>
      </c>
      <c r="D165" t="s">
        <v>834</v>
      </c>
      <c r="E165" s="30">
        <v>0</v>
      </c>
      <c r="F165" t="s">
        <v>849</v>
      </c>
      <c r="G165" t="s">
        <v>838</v>
      </c>
      <c r="I165" t="str">
        <f>+_xlfn.XLOOKUP(B165,ajus!$B$2:$B$420,ajus!$C$2:$C$420)</f>
        <v>LA ESMERALDA - AUT [21257090; TOL; HID; AO10; FONDO ADAPTACION]</v>
      </c>
    </row>
    <row r="166" spans="2:9" hidden="1" x14ac:dyDescent="0.25">
      <c r="B166">
        <v>202</v>
      </c>
      <c r="C166" t="s">
        <v>569</v>
      </c>
      <c r="D166" t="s">
        <v>828</v>
      </c>
      <c r="E166" s="30">
        <v>0</v>
      </c>
      <c r="F166" t="s">
        <v>837</v>
      </c>
      <c r="G166" t="s">
        <v>832</v>
      </c>
      <c r="I166" t="str">
        <f>+_xlfn.XLOOKUP(B166,ajus!$B$2:$B$420,ajus!$C$2:$C$420)</f>
        <v>SONSON [26180180;AO 01;FONDO ADAPTACION]</v>
      </c>
    </row>
    <row r="167" spans="2:9" hidden="1" x14ac:dyDescent="0.25">
      <c r="B167">
        <v>203</v>
      </c>
      <c r="C167" t="s">
        <v>570</v>
      </c>
      <c r="D167" t="s">
        <v>828</v>
      </c>
      <c r="E167" s="30">
        <v>0</v>
      </c>
      <c r="F167" t="s">
        <v>846</v>
      </c>
      <c r="G167" t="s">
        <v>830</v>
      </c>
      <c r="I167" t="str">
        <f>+_xlfn.XLOOKUP(B167,ajus!$B$2:$B$420,ajus!$C$2:$C$420)</f>
        <v>HACIENDA SANTA ANA [21205970; AO11]</v>
      </c>
    </row>
    <row r="168" spans="2:9" hidden="1" x14ac:dyDescent="0.25">
      <c r="B168">
        <v>204</v>
      </c>
      <c r="C168" t="s">
        <v>571</v>
      </c>
      <c r="D168" t="s">
        <v>828</v>
      </c>
      <c r="E168" s="30">
        <v>0</v>
      </c>
      <c r="F168" t="s">
        <v>842</v>
      </c>
      <c r="I168" t="str">
        <f>+_xlfn.XLOOKUP(B168,ajus!$B$2:$B$420,ajus!$C$2:$C$420)</f>
        <v>SANTA EMILIA - AUT [26145090; RIS; MET; INMARSAT; AO09; FONDO ADAPTACION]</v>
      </c>
    </row>
    <row r="169" spans="2:9" hidden="1" x14ac:dyDescent="0.25">
      <c r="B169">
        <v>205</v>
      </c>
      <c r="C169" t="s">
        <v>873</v>
      </c>
      <c r="D169" t="s">
        <v>834</v>
      </c>
      <c r="E169" s="30">
        <v>0</v>
      </c>
      <c r="F169" t="s">
        <v>846</v>
      </c>
      <c r="G169" t="s">
        <v>838</v>
      </c>
      <c r="I169" t="e">
        <f>+_xlfn.XLOOKUP(B169,ajus!$B$2:$B$420,ajus!$C$2:$C$420)</f>
        <v>#N/A</v>
      </c>
    </row>
    <row r="170" spans="2:9" hidden="1" x14ac:dyDescent="0.25">
      <c r="B170">
        <v>207</v>
      </c>
      <c r="C170" t="s">
        <v>572</v>
      </c>
      <c r="D170" t="s">
        <v>828</v>
      </c>
      <c r="E170" s="30">
        <v>0</v>
      </c>
      <c r="F170" t="s">
        <v>846</v>
      </c>
      <c r="G170" t="s">
        <v>832</v>
      </c>
      <c r="I170" t="str">
        <f>+_xlfn.XLOOKUP(B170,ajus!$B$2:$B$420,ajus!$C$2:$C$420)</f>
        <v>SANTA CRUZ DE SIECHA [21206980; AO11; FONDO ADAPTACION]</v>
      </c>
    </row>
    <row r="171" spans="2:9" hidden="1" x14ac:dyDescent="0.25">
      <c r="B171">
        <v>208</v>
      </c>
      <c r="C171" t="s">
        <v>573</v>
      </c>
      <c r="D171" t="s">
        <v>828</v>
      </c>
      <c r="E171" s="30">
        <v>0</v>
      </c>
      <c r="F171" t="s">
        <v>839</v>
      </c>
      <c r="G171" t="s">
        <v>832</v>
      </c>
      <c r="I171" t="str">
        <f>+_xlfn.XLOOKUP(B171,ajus!$B$2:$B$420,ajus!$C$2:$C$420)</f>
        <v>EL DIAMANTE - AUT [36015020; CAS; MET; INMARSAT; AO06; FONDO ADAPTACION]</v>
      </c>
    </row>
    <row r="172" spans="2:9" hidden="1" x14ac:dyDescent="0.25">
      <c r="B172">
        <v>209</v>
      </c>
      <c r="C172" t="s">
        <v>574</v>
      </c>
      <c r="D172" t="s">
        <v>834</v>
      </c>
      <c r="E172" s="30">
        <v>0</v>
      </c>
      <c r="F172" t="s">
        <v>849</v>
      </c>
      <c r="G172" t="s">
        <v>874</v>
      </c>
      <c r="I172" t="str">
        <f>+_xlfn.XLOOKUP(B172,ajus!$B$2:$B$420,ajus!$C$2:$C$420)</f>
        <v>NARINO - AUT [21237010; AO 10; HID; GPRS;]</v>
      </c>
    </row>
    <row r="173" spans="2:9" hidden="1" x14ac:dyDescent="0.25">
      <c r="B173">
        <v>210</v>
      </c>
      <c r="C173" t="s">
        <v>575</v>
      </c>
      <c r="D173" t="s">
        <v>828</v>
      </c>
      <c r="E173" s="30">
        <v>0</v>
      </c>
      <c r="F173" t="s">
        <v>842</v>
      </c>
      <c r="I173" t="str">
        <f>+_xlfn.XLOOKUP(B173,ajus!$B$2:$B$420,ajus!$C$2:$C$420)</f>
        <v>EL TABLAZO - AUT [26015010; AO 09; FONDO ADAPTACION]</v>
      </c>
    </row>
    <row r="174" spans="2:9" hidden="1" x14ac:dyDescent="0.25">
      <c r="B174">
        <v>211</v>
      </c>
      <c r="C174" t="s">
        <v>576</v>
      </c>
      <c r="D174" t="s">
        <v>834</v>
      </c>
      <c r="E174" s="30">
        <v>0</v>
      </c>
      <c r="F174" t="s">
        <v>842</v>
      </c>
      <c r="G174" t="s">
        <v>832</v>
      </c>
      <c r="I174" t="str">
        <f>+_xlfn.XLOOKUP(B174,ajus!$B$2:$B$420,ajus!$C$2:$C$420)</f>
        <v>TADO - AUT [54017040; CHO; HID; GPRS; AO09; FONDO ADAPTACION]</v>
      </c>
    </row>
    <row r="175" spans="2:9" hidden="1" x14ac:dyDescent="0.25">
      <c r="B175">
        <v>212</v>
      </c>
      <c r="C175" t="s">
        <v>875</v>
      </c>
      <c r="D175" t="s">
        <v>834</v>
      </c>
      <c r="E175" s="30">
        <v>0</v>
      </c>
      <c r="F175" t="s">
        <v>849</v>
      </c>
      <c r="I175" t="e">
        <f>+_xlfn.XLOOKUP(B175,ajus!$B$2:$B$420,ajus!$C$2:$C$420)</f>
        <v>#N/A</v>
      </c>
    </row>
    <row r="176" spans="2:9" hidden="1" x14ac:dyDescent="0.25">
      <c r="B176">
        <v>214</v>
      </c>
      <c r="C176" t="s">
        <v>577</v>
      </c>
      <c r="D176" t="s">
        <v>828</v>
      </c>
      <c r="E176" s="30">
        <v>0</v>
      </c>
      <c r="F176" t="s">
        <v>842</v>
      </c>
      <c r="G176" t="s">
        <v>830</v>
      </c>
      <c r="I176" t="str">
        <f>+_xlfn.XLOOKUP(B176,ajus!$B$2:$B$420,ajus!$C$2:$C$420)</f>
        <v>TESORITO FINCA  - AUT [26155170; AO 09; MET; GPRS; FONDO ADAPTACION]</v>
      </c>
    </row>
    <row r="177" spans="2:9" hidden="1" x14ac:dyDescent="0.25">
      <c r="B177">
        <v>215</v>
      </c>
      <c r="C177" t="s">
        <v>578</v>
      </c>
      <c r="D177" t="s">
        <v>828</v>
      </c>
      <c r="E177" s="30">
        <v>0</v>
      </c>
      <c r="F177" t="s">
        <v>844</v>
      </c>
      <c r="G177" t="s">
        <v>832</v>
      </c>
      <c r="I177" t="str">
        <f>+_xlfn.XLOOKUP(B177,ajus!$B$2:$B$420,ajus!$C$2:$C$420)</f>
        <v>EL TESORO IDEAM  - AUT [25025280; AO 02; FONDO ADAPTACION]</v>
      </c>
    </row>
    <row r="178" spans="2:9" hidden="1" x14ac:dyDescent="0.25">
      <c r="B178">
        <v>216</v>
      </c>
      <c r="C178" t="s">
        <v>876</v>
      </c>
      <c r="D178" t="s">
        <v>828</v>
      </c>
      <c r="E178" s="30">
        <v>0</v>
      </c>
      <c r="F178" t="s">
        <v>846</v>
      </c>
      <c r="G178" t="s">
        <v>832</v>
      </c>
      <c r="I178" t="e">
        <f>+_xlfn.XLOOKUP(B178,ajus!$B$2:$B$420,ajus!$C$2:$C$420)</f>
        <v>#N/A</v>
      </c>
    </row>
    <row r="179" spans="2:9" hidden="1" x14ac:dyDescent="0.25">
      <c r="B179">
        <v>217</v>
      </c>
      <c r="C179" t="s">
        <v>579</v>
      </c>
      <c r="D179" t="s">
        <v>828</v>
      </c>
      <c r="E179" s="30">
        <v>0</v>
      </c>
      <c r="F179" t="s">
        <v>831</v>
      </c>
      <c r="I179" t="str">
        <f>+_xlfn.XLOOKUP(B179,ajus!$B$2:$B$420,ajus!$C$2:$C$420)</f>
        <v>TIBU [16035010; NDS; MET; ROC; PM; AO08; H6; OCARVAJAL; 55-5; IPWD; R24; FNCM; ; ]</v>
      </c>
    </row>
    <row r="180" spans="2:9" hidden="1" x14ac:dyDescent="0.25">
      <c r="B180">
        <v>218</v>
      </c>
      <c r="C180" t="s">
        <v>877</v>
      </c>
      <c r="D180" t="s">
        <v>828</v>
      </c>
      <c r="E180" s="30">
        <v>0</v>
      </c>
      <c r="F180" t="s">
        <v>847</v>
      </c>
      <c r="I180" t="e">
        <f>+_xlfn.XLOOKUP(B180,ajus!$B$2:$B$420,ajus!$C$2:$C$420)</f>
        <v>#N/A</v>
      </c>
    </row>
    <row r="181" spans="2:9" hidden="1" x14ac:dyDescent="0.25">
      <c r="B181">
        <v>219</v>
      </c>
      <c r="C181" t="s">
        <v>580</v>
      </c>
      <c r="D181" t="s">
        <v>828</v>
      </c>
      <c r="E181" s="30">
        <v>0</v>
      </c>
      <c r="F181" t="s">
        <v>837</v>
      </c>
      <c r="G181" t="s">
        <v>830</v>
      </c>
      <c r="I181" t="str">
        <f>+_xlfn.XLOOKUP(B181,ajus!$B$2:$B$420,ajus!$C$2:$C$420)</f>
        <v>TULENAPA [12015060;AO 01;FONDO ADAPTACION]</v>
      </c>
    </row>
    <row r="182" spans="2:9" hidden="1" x14ac:dyDescent="0.25">
      <c r="B182">
        <v>220</v>
      </c>
      <c r="C182" t="s">
        <v>581</v>
      </c>
      <c r="D182" t="s">
        <v>828</v>
      </c>
      <c r="E182" s="30">
        <v>0</v>
      </c>
      <c r="F182" t="s">
        <v>839</v>
      </c>
      <c r="G182" t="s">
        <v>830</v>
      </c>
      <c r="I182" t="str">
        <f>+_xlfn.XLOOKUP(B182,ajus!$B$2:$B$420,ajus!$C$2:$C$420)</f>
        <v>TUNGUAVITA - AUT [24035430; AO06; MET; INMARSAT;  FONDO ADAPTACION]</v>
      </c>
    </row>
    <row r="183" spans="2:9" hidden="1" x14ac:dyDescent="0.25">
      <c r="B183">
        <v>221</v>
      </c>
      <c r="C183" t="s">
        <v>582</v>
      </c>
      <c r="D183" t="s">
        <v>828</v>
      </c>
      <c r="E183" s="30">
        <v>0</v>
      </c>
      <c r="F183" t="s">
        <v>837</v>
      </c>
      <c r="G183" t="s">
        <v>832</v>
      </c>
      <c r="I183" t="str">
        <f>+_xlfn.XLOOKUP(B183,ajus!$B$2:$B$420,ajus!$C$2:$C$420)</f>
        <v>TURBO [12025040;AO 01;FONDO ADAPTACION]</v>
      </c>
    </row>
    <row r="184" spans="2:9" hidden="1" x14ac:dyDescent="0.25">
      <c r="B184">
        <v>222</v>
      </c>
      <c r="C184" t="s">
        <v>583</v>
      </c>
      <c r="D184" t="s">
        <v>828</v>
      </c>
      <c r="E184" s="30">
        <v>0</v>
      </c>
      <c r="F184" t="s">
        <v>847</v>
      </c>
      <c r="G184" t="s">
        <v>830</v>
      </c>
      <c r="I184" t="str">
        <f>+_xlfn.XLOOKUP(B184,ajus!$B$2:$B$420,ajus!$C$2:$C$420)</f>
        <v>UNIVERSIDAD TECNOLOGICA  - AUT [15015120; AO 05; MET; GPRS; FONDO ADAPTACION]</v>
      </c>
    </row>
    <row r="185" spans="2:9" hidden="1" x14ac:dyDescent="0.25">
      <c r="B185">
        <v>223</v>
      </c>
      <c r="C185" t="s">
        <v>584</v>
      </c>
      <c r="D185" t="s">
        <v>828</v>
      </c>
      <c r="E185" s="30">
        <v>0</v>
      </c>
      <c r="F185" t="s">
        <v>837</v>
      </c>
      <c r="G185" t="s">
        <v>832</v>
      </c>
      <c r="I185" t="str">
        <f>+_xlfn.XLOOKUP(B185,ajus!$B$2:$B$420,ajus!$C$2:$C$420)</f>
        <v>UNGUIA [11135030;AO 01;FONDO ADAPTACION]</v>
      </c>
    </row>
    <row r="186" spans="2:9" hidden="1" x14ac:dyDescent="0.25">
      <c r="B186">
        <v>224</v>
      </c>
      <c r="C186" t="s">
        <v>878</v>
      </c>
      <c r="D186" t="s">
        <v>828</v>
      </c>
      <c r="E186" s="30">
        <v>0</v>
      </c>
      <c r="F186" t="s">
        <v>847</v>
      </c>
      <c r="G186" t="s">
        <v>830</v>
      </c>
      <c r="I186" t="e">
        <f>+_xlfn.XLOOKUP(B186,ajus!$B$2:$B$420,ajus!$C$2:$C$420)</f>
        <v>#N/A</v>
      </c>
    </row>
    <row r="187" spans="2:9" hidden="1" x14ac:dyDescent="0.25">
      <c r="B187">
        <v>225</v>
      </c>
      <c r="C187" t="s">
        <v>585</v>
      </c>
      <c r="D187" t="s">
        <v>828</v>
      </c>
      <c r="E187" s="30">
        <v>0</v>
      </c>
      <c r="F187" t="s">
        <v>829</v>
      </c>
      <c r="G187" t="s">
        <v>832</v>
      </c>
      <c r="I187" t="str">
        <f>+_xlfn.XLOOKUP(B187,ajus!$B$2:$B$420,ajus!$C$2:$C$420)</f>
        <v>UNIVERSIDAD DE NARINO  - AUT [52045080; AO 07 ; FONDO ADAPTACION]</v>
      </c>
    </row>
    <row r="188" spans="2:9" hidden="1" x14ac:dyDescent="0.25">
      <c r="B188">
        <v>226</v>
      </c>
      <c r="C188" t="s">
        <v>586</v>
      </c>
      <c r="D188" t="s">
        <v>828</v>
      </c>
      <c r="E188" s="30">
        <v>0</v>
      </c>
      <c r="F188" t="s">
        <v>842</v>
      </c>
      <c r="G188" t="s">
        <v>832</v>
      </c>
      <c r="I188" t="str">
        <f>+_xlfn.XLOOKUP(B188,ajus!$B$2:$B$420,ajus!$C$2:$C$420)</f>
        <v>UNIVERSIDAD DEL VALLE  - AUT [26055120; AO 09; MET; GPRS; FONDO ADAPTACION]</v>
      </c>
    </row>
    <row r="189" spans="2:9" hidden="1" x14ac:dyDescent="0.25">
      <c r="B189">
        <v>227</v>
      </c>
      <c r="C189" t="s">
        <v>587</v>
      </c>
      <c r="D189" t="s">
        <v>828</v>
      </c>
      <c r="E189" s="30">
        <v>0</v>
      </c>
      <c r="F189" t="s">
        <v>831</v>
      </c>
      <c r="G189" t="s">
        <v>832</v>
      </c>
      <c r="I189" t="str">
        <f>+_xlfn.XLOOKUP(B189,ajus!$B$2:$B$420,ajus!$C$2:$C$420)</f>
        <v>UNIVERSIDAD FRANCISO DE PAULA SANTANDER - AUT [16015110; AO 08; MET; GPRS; FONDO ADAPTACION]</v>
      </c>
    </row>
    <row r="190" spans="2:9" hidden="1" x14ac:dyDescent="0.25">
      <c r="B190">
        <v>228</v>
      </c>
      <c r="C190" t="s">
        <v>879</v>
      </c>
      <c r="D190" t="s">
        <v>828</v>
      </c>
      <c r="E190" s="30">
        <v>0</v>
      </c>
      <c r="F190" t="s">
        <v>846</v>
      </c>
      <c r="G190" t="s">
        <v>832</v>
      </c>
      <c r="I190" t="str">
        <f>+_xlfn.XLOOKUP(B190,ajus!$B$2:$B$420,ajus!$C$2:$C$420)</f>
        <v>CAÑASGORDAS  - AUT [11115020]</v>
      </c>
    </row>
    <row r="191" spans="2:9" hidden="1" x14ac:dyDescent="0.25">
      <c r="B191">
        <v>229</v>
      </c>
      <c r="C191" t="s">
        <v>588</v>
      </c>
      <c r="D191" t="s">
        <v>828</v>
      </c>
      <c r="E191" s="30">
        <v>0</v>
      </c>
      <c r="F191" t="s">
        <v>831</v>
      </c>
      <c r="G191" t="s">
        <v>832</v>
      </c>
      <c r="I191" t="str">
        <f>+_xlfn.XLOOKUP(B191,ajus!$B$2:$B$420,ajus!$C$2:$C$420)</f>
        <v>UNIVERSIDAD DE PAMPLONA  - AUT [16015120; AO 08; MET; GPRS; FONDO ADAPTACION]</v>
      </c>
    </row>
    <row r="192" spans="2:9" hidden="1" x14ac:dyDescent="0.25">
      <c r="B192">
        <v>231</v>
      </c>
      <c r="C192" t="s">
        <v>589</v>
      </c>
      <c r="D192" t="s">
        <v>834</v>
      </c>
      <c r="E192" s="30">
        <v>0</v>
      </c>
      <c r="F192" t="s">
        <v>849</v>
      </c>
      <c r="I192" t="str">
        <f>+_xlfn.XLOOKUP(B192,ajus!$B$2:$B$420,ajus!$C$2:$C$420)</f>
        <v>CANTERAS - AUT [23087210; ANT; HID; INMARSAT; AO10; FONDO ADAPTACION]</v>
      </c>
    </row>
    <row r="193" spans="2:9" hidden="1" x14ac:dyDescent="0.25">
      <c r="B193">
        <v>232</v>
      </c>
      <c r="C193" t="s">
        <v>590</v>
      </c>
      <c r="D193" t="s">
        <v>834</v>
      </c>
      <c r="E193" s="30">
        <v>0</v>
      </c>
      <c r="F193" t="s">
        <v>829</v>
      </c>
      <c r="I193" t="str">
        <f>+_xlfn.XLOOKUP(B193,ajus!$B$2:$B$420,ajus!$C$2:$C$420)</f>
        <v>LA FONDA - AUT [52017030; AO-07; HID; GPRS; FONDO ADAPTACION]</v>
      </c>
    </row>
    <row r="194" spans="2:9" hidden="1" x14ac:dyDescent="0.25">
      <c r="B194">
        <v>233</v>
      </c>
      <c r="C194" t="s">
        <v>591</v>
      </c>
      <c r="D194" t="s">
        <v>834</v>
      </c>
      <c r="E194" s="30">
        <v>0</v>
      </c>
      <c r="F194" t="s">
        <v>842</v>
      </c>
      <c r="I194" t="str">
        <f>+_xlfn.XLOOKUP(B194,ajus!$B$2:$B$420,ajus!$C$2:$C$420)</f>
        <v>MOLINOS - AUT [2601700104; AO 09; HID; GPRS; FONDO ADAPTACION]</v>
      </c>
    </row>
    <row r="195" spans="2:9" hidden="1" x14ac:dyDescent="0.25">
      <c r="B195">
        <v>235</v>
      </c>
      <c r="C195" t="s">
        <v>592</v>
      </c>
      <c r="D195" t="s">
        <v>828</v>
      </c>
      <c r="E195" s="30">
        <v>0</v>
      </c>
      <c r="F195" t="s">
        <v>846</v>
      </c>
      <c r="G195" t="s">
        <v>832</v>
      </c>
      <c r="I195" t="str">
        <f>+_xlfn.XLOOKUP(B195,ajus!$B$2:$B$420,ajus!$C$2:$C$420)</f>
        <v>VILLA INES [21205940; AO11; FONDO ADAPTACION]</v>
      </c>
    </row>
    <row r="196" spans="2:9" hidden="1" x14ac:dyDescent="0.25">
      <c r="B196">
        <v>236</v>
      </c>
      <c r="C196" t="s">
        <v>593</v>
      </c>
      <c r="D196" t="s">
        <v>828</v>
      </c>
      <c r="E196" s="30">
        <v>0</v>
      </c>
      <c r="F196" t="s">
        <v>846</v>
      </c>
      <c r="G196" t="s">
        <v>880</v>
      </c>
      <c r="I196" t="str">
        <f>+_xlfn.XLOOKUP(B196,ajus!$B$2:$B$420,ajus!$C$2:$C$420)</f>
        <v>VILLA TERESA [21206920; AO11; FONDO ADAPTACION]</v>
      </c>
    </row>
    <row r="197" spans="2:9" hidden="1" x14ac:dyDescent="0.25">
      <c r="B197">
        <v>239</v>
      </c>
      <c r="C197" t="s">
        <v>594</v>
      </c>
      <c r="D197" t="s">
        <v>828</v>
      </c>
      <c r="E197" s="30">
        <v>0</v>
      </c>
      <c r="F197" t="s">
        <v>846</v>
      </c>
      <c r="G197" t="s">
        <v>830</v>
      </c>
      <c r="I197" t="str">
        <f>+_xlfn.XLOOKUP(B197,ajus!$B$2:$B$420,ajus!$C$2:$C$420)</f>
        <v>VILLETA [23065180; AO 11; FONDO ADAPTACION]</v>
      </c>
    </row>
    <row r="198" spans="2:9" hidden="1" x14ac:dyDescent="0.25">
      <c r="B198">
        <v>241</v>
      </c>
      <c r="C198" t="s">
        <v>595</v>
      </c>
      <c r="D198" t="s">
        <v>828</v>
      </c>
      <c r="E198" s="30">
        <v>0</v>
      </c>
      <c r="F198" t="s">
        <v>858</v>
      </c>
      <c r="G198" t="s">
        <v>832</v>
      </c>
      <c r="I198" t="str">
        <f>+_xlfn.XLOOKUP(B198,ajus!$B$2:$B$420,ajus!$C$2:$C$420)</f>
        <v>VISTA HERMOSA - AUT [3206500059;AO 03;FONDO ADAPTACION]</v>
      </c>
    </row>
    <row r="199" spans="2:9" hidden="1" x14ac:dyDescent="0.25">
      <c r="B199">
        <v>242</v>
      </c>
      <c r="C199" t="s">
        <v>596</v>
      </c>
      <c r="D199" t="s">
        <v>828</v>
      </c>
      <c r="E199" s="30">
        <v>0</v>
      </c>
      <c r="F199" t="s">
        <v>831</v>
      </c>
      <c r="G199" t="s">
        <v>830</v>
      </c>
      <c r="I199" t="str">
        <f>+_xlfn.XLOOKUP(B199,ajus!$B$2:$B$420,ajus!$C$2:$C$420)</f>
        <v>VIVERO SURATA  - AUT [23195090; AO 08; MET; GPRS; FONDO ADAPTACION]</v>
      </c>
    </row>
    <row r="200" spans="2:9" hidden="1" x14ac:dyDescent="0.25">
      <c r="B200">
        <v>243</v>
      </c>
      <c r="C200" t="s">
        <v>597</v>
      </c>
      <c r="D200" t="s">
        <v>828</v>
      </c>
      <c r="E200" s="30">
        <v>0</v>
      </c>
      <c r="F200" t="s">
        <v>831</v>
      </c>
      <c r="I200" t="str">
        <f>+_xlfn.XLOOKUP(B200,ajus!$B$2:$B$420,ajus!$C$2:$C$420)</f>
        <v>VIZCAINA LA LIZAMA  - AUT [24055080; AO 08; MET; GPRS; FONDO ADAPTACION]</v>
      </c>
    </row>
    <row r="201" spans="2:9" hidden="1" x14ac:dyDescent="0.25">
      <c r="B201">
        <v>245</v>
      </c>
      <c r="C201" t="s">
        <v>598</v>
      </c>
      <c r="D201" t="s">
        <v>834</v>
      </c>
      <c r="E201" s="30">
        <v>0</v>
      </c>
      <c r="F201" t="s">
        <v>829</v>
      </c>
      <c r="G201" t="s">
        <v>838</v>
      </c>
      <c r="I201" t="str">
        <f>+_xlfn.XLOOKUP(B201,ajus!$B$2:$B$420,ajus!$C$2:$C$420)</f>
        <v>ANDAQUI  - AUT [44017110; PUT; HID; GOES: CB1BA136; AO07; FONDO ADAPTACION]</v>
      </c>
    </row>
    <row r="202" spans="2:9" hidden="1" x14ac:dyDescent="0.25">
      <c r="B202">
        <v>246</v>
      </c>
      <c r="C202" t="s">
        <v>599</v>
      </c>
      <c r="D202" t="s">
        <v>828</v>
      </c>
      <c r="E202" s="30">
        <v>0</v>
      </c>
      <c r="F202" t="s">
        <v>842</v>
      </c>
      <c r="G202" t="s">
        <v>832</v>
      </c>
      <c r="I202" t="str">
        <f>+_xlfn.XLOOKUP(B202,ajus!$B$2:$B$420,ajus!$C$2:$C$420)</f>
        <v>ZARAGOZA - AUT [26105250; AO 09; MET; GPRS; FONDO ADAPTACION]</v>
      </c>
    </row>
    <row r="203" spans="2:9" hidden="1" x14ac:dyDescent="0.25">
      <c r="B203">
        <v>247</v>
      </c>
      <c r="C203" t="s">
        <v>600</v>
      </c>
      <c r="D203" t="s">
        <v>828</v>
      </c>
      <c r="E203" s="30">
        <v>0</v>
      </c>
      <c r="F203" t="s">
        <v>839</v>
      </c>
      <c r="G203" t="s">
        <v>830</v>
      </c>
      <c r="I203" t="str">
        <f>+_xlfn.XLOOKUP(B203,ajus!$B$2:$B$420,ajus!$C$2:$C$420)</f>
        <v>ZETAQUIRA - AUT [35085060; AO 06; MET; GPRS; FONDO ADAPTACION]</v>
      </c>
    </row>
    <row r="204" spans="2:9" hidden="1" x14ac:dyDescent="0.25">
      <c r="B204">
        <v>248</v>
      </c>
      <c r="C204" t="s">
        <v>601</v>
      </c>
      <c r="D204" t="s">
        <v>828</v>
      </c>
      <c r="E204" s="30">
        <v>0</v>
      </c>
      <c r="F204" t="s">
        <v>844</v>
      </c>
      <c r="G204" t="s">
        <v>832</v>
      </c>
      <c r="I204" t="str">
        <f>+_xlfn.XLOOKUP(B204,ajus!$B$2:$B$420,ajus!$C$2:$C$420)</f>
        <v>UNIVERSIDAD UNAD CARTAGENA - AUT   [1206500136; AO 02; FONDO ADPTACION ]</v>
      </c>
    </row>
    <row r="205" spans="2:9" hidden="1" x14ac:dyDescent="0.25">
      <c r="B205">
        <v>250</v>
      </c>
      <c r="C205" t="s">
        <v>602</v>
      </c>
      <c r="D205" t="s">
        <v>828</v>
      </c>
      <c r="E205" s="30">
        <v>0</v>
      </c>
      <c r="F205" t="s">
        <v>837</v>
      </c>
      <c r="G205" t="s">
        <v>832</v>
      </c>
      <c r="I205" t="str">
        <f>+_xlfn.XLOOKUP(B205,ajus!$B$2:$B$420,ajus!$C$2:$C$420)</f>
        <v>ITUANGO [2621500070;AO01;FONDO ADAPTACION]</v>
      </c>
    </row>
    <row r="206" spans="2:9" hidden="1" x14ac:dyDescent="0.25">
      <c r="B206">
        <v>251</v>
      </c>
      <c r="C206" t="s">
        <v>603</v>
      </c>
      <c r="D206" t="s">
        <v>834</v>
      </c>
      <c r="E206" s="30">
        <v>0</v>
      </c>
      <c r="F206" t="s">
        <v>839</v>
      </c>
      <c r="G206" t="s">
        <v>832</v>
      </c>
      <c r="I206" t="str">
        <f>+_xlfn.XLOOKUP(B206,ajus!$B$2:$B$420,ajus!$C$2:$C$420)</f>
        <v>TUA BALNEARIO - AUT [3518700145;CAS; HID; INMARSAT; AO06; FONDO ADAPTACION]</v>
      </c>
    </row>
    <row r="207" spans="2:9" hidden="1" x14ac:dyDescent="0.25">
      <c r="B207">
        <v>252</v>
      </c>
      <c r="C207" t="s">
        <v>604</v>
      </c>
      <c r="D207" t="s">
        <v>828</v>
      </c>
      <c r="E207" s="30">
        <v>0</v>
      </c>
      <c r="F207" t="s">
        <v>837</v>
      </c>
      <c r="I207" t="str">
        <f>+_xlfn.XLOOKUP(B207,ajus!$B$2:$B$420,ajus!$C$2:$C$420)</f>
        <v>RETIRO [2308500071;AO 01;FONDO ADAPTACION]</v>
      </c>
    </row>
    <row r="208" spans="2:9" hidden="1" x14ac:dyDescent="0.25">
      <c r="B208">
        <v>253</v>
      </c>
      <c r="C208" t="s">
        <v>605</v>
      </c>
      <c r="D208" t="s">
        <v>834</v>
      </c>
      <c r="E208" s="30">
        <v>0</v>
      </c>
      <c r="F208" t="s">
        <v>837</v>
      </c>
      <c r="G208" t="s">
        <v>852</v>
      </c>
      <c r="I208" t="str">
        <f>+_xlfn.XLOOKUP(B208,ajus!$B$2:$B$420,ajus!$C$2:$C$420)</f>
        <v>BARRANQUILLITA [12017020;AO 01;FONDO ADAPTACION]</v>
      </c>
    </row>
    <row r="209" spans="2:9" hidden="1" x14ac:dyDescent="0.25">
      <c r="B209">
        <v>255</v>
      </c>
      <c r="C209" t="s">
        <v>606</v>
      </c>
      <c r="D209" t="s">
        <v>834</v>
      </c>
      <c r="E209" s="30">
        <v>0</v>
      </c>
      <c r="F209" t="s">
        <v>837</v>
      </c>
      <c r="I209" t="str">
        <f>+_xlfn.XLOOKUP(B209,ajus!$B$2:$B$420,ajus!$C$2:$C$420)</f>
        <v>LA GARRUCHA [23087190; ANT; HID; INMARSAT; AO01; FONDO ADAPTACION]</v>
      </c>
    </row>
    <row r="210" spans="2:9" hidden="1" x14ac:dyDescent="0.25">
      <c r="B210">
        <v>256</v>
      </c>
      <c r="C210" t="s">
        <v>607</v>
      </c>
      <c r="D210" t="s">
        <v>834</v>
      </c>
      <c r="E210" s="30">
        <v>0</v>
      </c>
      <c r="F210" t="s">
        <v>837</v>
      </c>
      <c r="G210" t="s">
        <v>832</v>
      </c>
      <c r="I210" t="str">
        <f>+_xlfn.XLOOKUP(B210,ajus!$B$2:$B$420,ajus!$C$2:$C$420)</f>
        <v>DABEIBA 2 [11117050; AO-01;FONDO ADAPTACION]</v>
      </c>
    </row>
    <row r="211" spans="2:9" hidden="1" x14ac:dyDescent="0.25">
      <c r="B211">
        <v>257</v>
      </c>
      <c r="C211" t="s">
        <v>881</v>
      </c>
      <c r="D211" t="s">
        <v>834</v>
      </c>
      <c r="E211" s="30">
        <v>0</v>
      </c>
      <c r="F211" t="s">
        <v>849</v>
      </c>
      <c r="G211" t="s">
        <v>882</v>
      </c>
      <c r="I211" t="e">
        <f>+_xlfn.XLOOKUP(B211,ajus!$B$2:$B$420,ajus!$C$2:$C$420)</f>
        <v>#N/A</v>
      </c>
    </row>
    <row r="212" spans="2:9" hidden="1" x14ac:dyDescent="0.25">
      <c r="B212">
        <v>258</v>
      </c>
      <c r="C212" t="s">
        <v>608</v>
      </c>
      <c r="D212" t="s">
        <v>828</v>
      </c>
      <c r="E212" s="30">
        <v>0</v>
      </c>
      <c r="F212" t="s">
        <v>837</v>
      </c>
      <c r="G212" t="s">
        <v>830</v>
      </c>
      <c r="I212" t="str">
        <f>+_xlfn.XLOOKUP(B212,ajus!$B$2:$B$420,ajus!$C$2:$C$420)</f>
        <v>ABRIAQUI [1111500036; AO 01;FONDO ADAPTACION]</v>
      </c>
    </row>
    <row r="213" spans="2:9" hidden="1" x14ac:dyDescent="0.25">
      <c r="B213">
        <v>259</v>
      </c>
      <c r="C213" t="s">
        <v>609</v>
      </c>
      <c r="D213" t="s">
        <v>834</v>
      </c>
      <c r="E213" s="30">
        <v>0</v>
      </c>
      <c r="F213" t="s">
        <v>844</v>
      </c>
      <c r="G213" t="s">
        <v>832</v>
      </c>
      <c r="I213" t="str">
        <f>+_xlfn.XLOOKUP(B213,ajus!$B$2:$B$420,ajus!$C$2:$C$420)</f>
        <v>COTOCA ABAJO  - AUT [13077060; AO 02; FONDO ADAPTACION]</v>
      </c>
    </row>
    <row r="214" spans="2:9" hidden="1" x14ac:dyDescent="0.25">
      <c r="B214">
        <v>261</v>
      </c>
      <c r="C214" t="s">
        <v>610</v>
      </c>
      <c r="D214" t="s">
        <v>828</v>
      </c>
      <c r="E214" s="30">
        <v>0</v>
      </c>
      <c r="F214" t="s">
        <v>837</v>
      </c>
      <c r="G214" t="s">
        <v>838</v>
      </c>
      <c r="I214" t="str">
        <f>+_xlfn.XLOOKUP(B214,ajus!$B$2:$B$420,ajus!$C$2:$C$420)</f>
        <v>VALLE ALTO [26180250;AO 01;FONDO ADAPTACION]</v>
      </c>
    </row>
    <row r="215" spans="2:9" hidden="1" x14ac:dyDescent="0.25">
      <c r="B215">
        <v>262</v>
      </c>
      <c r="C215" t="s">
        <v>611</v>
      </c>
      <c r="D215" t="s">
        <v>834</v>
      </c>
      <c r="E215" s="30">
        <v>0</v>
      </c>
      <c r="F215" t="s">
        <v>837</v>
      </c>
      <c r="G215" t="s">
        <v>838</v>
      </c>
      <c r="I215" t="str">
        <f>+_xlfn.XLOOKUP(B215,ajus!$B$2:$B$420,ajus!$C$2:$C$420)</f>
        <v>HACIENDA PALMIRA [26247010;AO 01;FONDO ADAPTACION]</v>
      </c>
    </row>
    <row r="216" spans="2:9" hidden="1" x14ac:dyDescent="0.25">
      <c r="B216">
        <v>263</v>
      </c>
      <c r="C216" t="s">
        <v>883</v>
      </c>
      <c r="D216" t="s">
        <v>834</v>
      </c>
      <c r="E216" s="30">
        <v>0</v>
      </c>
      <c r="F216" t="s">
        <v>831</v>
      </c>
      <c r="I216" t="e">
        <f>+_xlfn.XLOOKUP(B216,ajus!$B$2:$B$420,ajus!$C$2:$C$420)</f>
        <v>#N/A</v>
      </c>
    </row>
    <row r="217" spans="2:9" hidden="1" x14ac:dyDescent="0.25">
      <c r="B217">
        <v>264</v>
      </c>
      <c r="C217" t="s">
        <v>612</v>
      </c>
      <c r="D217" t="s">
        <v>834</v>
      </c>
      <c r="E217" s="30">
        <v>41</v>
      </c>
      <c r="F217" t="s">
        <v>837</v>
      </c>
      <c r="I217" t="str">
        <f>+_xlfn.XLOOKUP(B217,ajus!$B$2:$B$420,ajus!$C$2:$C$420)</f>
        <v>EL RETIRO - AUT [27037020;AO 01;AUTOPISTAS NORDESTE]</v>
      </c>
    </row>
    <row r="218" spans="2:9" hidden="1" x14ac:dyDescent="0.25">
      <c r="B218">
        <v>265</v>
      </c>
      <c r="C218" t="s">
        <v>884</v>
      </c>
      <c r="D218" t="s">
        <v>828</v>
      </c>
      <c r="E218" s="30">
        <v>0</v>
      </c>
      <c r="F218" t="s">
        <v>844</v>
      </c>
      <c r="G218" t="s">
        <v>830</v>
      </c>
      <c r="I218" t="e">
        <f>+_xlfn.XLOOKUP(B218,ajus!$B$2:$B$420,ajus!$C$2:$C$420)</f>
        <v>#N/A</v>
      </c>
    </row>
    <row r="219" spans="2:9" hidden="1" x14ac:dyDescent="0.25">
      <c r="B219">
        <v>266</v>
      </c>
      <c r="C219" t="s">
        <v>613</v>
      </c>
      <c r="D219" t="s">
        <v>834</v>
      </c>
      <c r="E219" s="30">
        <v>0</v>
      </c>
      <c r="F219" t="s">
        <v>837</v>
      </c>
      <c r="G219" t="s">
        <v>838</v>
      </c>
      <c r="I219" t="str">
        <f>+_xlfn.XLOOKUP(B219,ajus!$B$2:$B$420,ajus!$C$2:$C$420)</f>
        <v>SALGAR [2619700161;AO 01;FONDO DE ADAPTACIÓN]</v>
      </c>
    </row>
    <row r="220" spans="2:9" hidden="1" x14ac:dyDescent="0.25">
      <c r="B220">
        <v>267</v>
      </c>
      <c r="C220" t="s">
        <v>614</v>
      </c>
      <c r="D220" t="s">
        <v>834</v>
      </c>
      <c r="E220" s="30">
        <v>0</v>
      </c>
      <c r="F220" t="s">
        <v>837</v>
      </c>
      <c r="G220" t="s">
        <v>832</v>
      </c>
      <c r="I220" t="str">
        <f>+_xlfn.XLOOKUP(B220,ajus!$B$2:$B$420,ajus!$C$2:$C$420)</f>
        <v>EL SIETE [11027030; AO 01; FONDO ADAPTACION]</v>
      </c>
    </row>
    <row r="221" spans="2:9" hidden="1" x14ac:dyDescent="0.25">
      <c r="B221">
        <v>268</v>
      </c>
      <c r="C221" t="s">
        <v>615</v>
      </c>
      <c r="D221" t="s">
        <v>834</v>
      </c>
      <c r="E221" s="30">
        <v>0</v>
      </c>
      <c r="F221" t="s">
        <v>837</v>
      </c>
      <c r="G221" t="s">
        <v>832</v>
      </c>
      <c r="I221" t="str">
        <f>+_xlfn.XLOOKUP(B221,ajus!$B$2:$B$420,ajus!$C$2:$C$420)</f>
        <v>MARGENTO [25027050;AO 01;FONDO ADAPTACION]</v>
      </c>
    </row>
    <row r="222" spans="2:9" hidden="1" x14ac:dyDescent="0.25">
      <c r="B222">
        <v>269</v>
      </c>
      <c r="C222" t="s">
        <v>616</v>
      </c>
      <c r="D222" t="s">
        <v>828</v>
      </c>
      <c r="E222" s="30">
        <v>0</v>
      </c>
      <c r="F222" t="s">
        <v>844</v>
      </c>
      <c r="G222" t="s">
        <v>830</v>
      </c>
      <c r="I222" t="str">
        <f>+_xlfn.XLOOKUP(B222,ajus!$B$2:$B$420,ajus!$C$2:$C$420)</f>
        <v>CRISTO REY  - AUT [12045020; AO 02; FONDO ADAPTACION]</v>
      </c>
    </row>
    <row r="223" spans="2:9" hidden="1" x14ac:dyDescent="0.25">
      <c r="B223">
        <v>270</v>
      </c>
      <c r="C223" t="s">
        <v>617</v>
      </c>
      <c r="D223" t="s">
        <v>828</v>
      </c>
      <c r="E223" s="30">
        <v>0</v>
      </c>
      <c r="F223" t="s">
        <v>844</v>
      </c>
      <c r="I223" t="str">
        <f>+_xlfn.XLOOKUP(B223,ajus!$B$2:$B$420,ajus!$C$2:$C$420)</f>
        <v>JUAN JOSE - AUT   [2501500120; AO02; FONDO DE ADAPTACIÓN]</v>
      </c>
    </row>
    <row r="224" spans="2:9" hidden="1" x14ac:dyDescent="0.25">
      <c r="B224">
        <v>271</v>
      </c>
      <c r="C224" t="s">
        <v>618</v>
      </c>
      <c r="D224" t="s">
        <v>828</v>
      </c>
      <c r="E224" s="30">
        <v>0</v>
      </c>
      <c r="F224" t="s">
        <v>839</v>
      </c>
      <c r="G224" t="s">
        <v>838</v>
      </c>
      <c r="I224" t="str">
        <f>+_xlfn.XLOOKUP(B224,ajus!$B$2:$B$420,ajus!$C$2:$C$420)</f>
        <v>GUADUALITO - AUT [3518500127; MET;  AO06; CAMPBELL]</v>
      </c>
    </row>
    <row r="225" spans="2:9" hidden="1" x14ac:dyDescent="0.25">
      <c r="B225">
        <v>272</v>
      </c>
      <c r="C225" t="s">
        <v>619</v>
      </c>
      <c r="D225" t="s">
        <v>828</v>
      </c>
      <c r="E225" s="30">
        <v>0</v>
      </c>
      <c r="F225" t="s">
        <v>844</v>
      </c>
      <c r="I225" t="str">
        <f>+_xlfn.XLOOKUP(B225,ajus!$B$2:$B$420,ajus!$C$2:$C$420)</f>
        <v>LOMA VERDE - AUT [1303500074; AO02; FONDO ADAPTACION]</v>
      </c>
    </row>
    <row r="226" spans="2:9" hidden="1" x14ac:dyDescent="0.25">
      <c r="B226">
        <v>274</v>
      </c>
      <c r="C226" t="s">
        <v>885</v>
      </c>
      <c r="D226" t="s">
        <v>828</v>
      </c>
      <c r="E226" s="30">
        <v>0</v>
      </c>
      <c r="F226" t="s">
        <v>844</v>
      </c>
      <c r="I226" t="e">
        <f>+_xlfn.XLOOKUP(B226,ajus!$B$2:$B$420,ajus!$C$2:$C$420)</f>
        <v>#N/A</v>
      </c>
    </row>
    <row r="227" spans="2:9" hidden="1" x14ac:dyDescent="0.25">
      <c r="B227">
        <v>275</v>
      </c>
      <c r="C227" t="s">
        <v>620</v>
      </c>
      <c r="D227" t="s">
        <v>834</v>
      </c>
      <c r="E227" s="30">
        <v>0</v>
      </c>
      <c r="F227" t="s">
        <v>844</v>
      </c>
      <c r="G227" t="s">
        <v>838</v>
      </c>
      <c r="I227" t="str">
        <f>+_xlfn.XLOOKUP(B227,ajus!$B$2:$B$420,ajus!$C$2:$C$420)</f>
        <v>PICA PICA  - AUT [25017030; COR; HID; GOES: CB1EE5FC; AO02; FONDO ADAPTACION]</v>
      </c>
    </row>
    <row r="228" spans="2:9" hidden="1" x14ac:dyDescent="0.25">
      <c r="B228">
        <v>277</v>
      </c>
      <c r="C228" t="s">
        <v>621</v>
      </c>
      <c r="D228" t="s">
        <v>834</v>
      </c>
      <c r="E228" s="30">
        <v>0</v>
      </c>
      <c r="F228" t="s">
        <v>844</v>
      </c>
      <c r="H228" t="s">
        <v>835</v>
      </c>
      <c r="I228" t="str">
        <f>+_xlfn.XLOOKUP(B228,ajus!$B$2:$B$420,ajus!$C$2:$C$420)</f>
        <v>PLANTA ECOPETROL - AUT   [2502700153; AO02;  ]  SINIESTRO: BRAZO+NIVEL+BATERIA</v>
      </c>
    </row>
    <row r="229" spans="2:9" hidden="1" x14ac:dyDescent="0.25">
      <c r="B229">
        <v>278</v>
      </c>
      <c r="C229" t="s">
        <v>622</v>
      </c>
      <c r="D229" t="s">
        <v>834</v>
      </c>
      <c r="E229" s="30">
        <v>0</v>
      </c>
      <c r="F229" t="s">
        <v>829</v>
      </c>
      <c r="I229" t="str">
        <f>+_xlfn.XLOOKUP(B229,ajus!$B$2:$B$420,ajus!$C$2:$C$420)</f>
        <v>SANTA ROSA  - AUT [44017070; CAU; HID; INMARSAT; AO07; FONDO ADAPTACION]</v>
      </c>
    </row>
    <row r="230" spans="2:9" hidden="1" x14ac:dyDescent="0.25">
      <c r="B230">
        <v>279</v>
      </c>
      <c r="C230" t="s">
        <v>623</v>
      </c>
      <c r="D230" t="s">
        <v>834</v>
      </c>
      <c r="E230" s="30">
        <v>0</v>
      </c>
      <c r="F230" t="s">
        <v>858</v>
      </c>
      <c r="G230" t="s">
        <v>838</v>
      </c>
      <c r="I230" t="str">
        <f>+_xlfn.XLOOKUP(B230,ajus!$B$2:$B$420,ajus!$C$2:$C$420)</f>
        <v>PUENTE CARRETERA - AUT [35027140;AO 03;FONDO ADAPTACION]</v>
      </c>
    </row>
    <row r="231" spans="2:9" hidden="1" x14ac:dyDescent="0.25">
      <c r="B231">
        <v>280</v>
      </c>
      <c r="C231" t="s">
        <v>624</v>
      </c>
      <c r="D231" t="s">
        <v>834</v>
      </c>
      <c r="E231" s="30">
        <v>0</v>
      </c>
      <c r="F231" t="s">
        <v>858</v>
      </c>
      <c r="G231" t="s">
        <v>832</v>
      </c>
      <c r="I231" t="str">
        <f>+_xlfn.XLOOKUP(B231,ajus!$B$2:$B$420,ajus!$C$2:$C$420)</f>
        <v>GUAYURIBA - AUT [3502700090;AO 03;FONDO ADAPTACION]</v>
      </c>
    </row>
    <row r="232" spans="2:9" hidden="1" x14ac:dyDescent="0.25">
      <c r="B232">
        <v>281</v>
      </c>
      <c r="C232" t="s">
        <v>886</v>
      </c>
      <c r="D232" t="s">
        <v>828</v>
      </c>
      <c r="E232" s="30">
        <v>0</v>
      </c>
      <c r="F232" t="s">
        <v>858</v>
      </c>
      <c r="G232" t="s">
        <v>832</v>
      </c>
      <c r="I232" t="e">
        <f>+_xlfn.XLOOKUP(B232,ajus!$B$2:$B$420,ajus!$C$2:$C$420)</f>
        <v>#N/A</v>
      </c>
    </row>
    <row r="233" spans="2:9" hidden="1" x14ac:dyDescent="0.25">
      <c r="B233">
        <v>282</v>
      </c>
      <c r="C233" t="s">
        <v>625</v>
      </c>
      <c r="D233" t="s">
        <v>828</v>
      </c>
      <c r="E233" s="30">
        <v>0</v>
      </c>
      <c r="F233" t="s">
        <v>858</v>
      </c>
      <c r="I233" t="str">
        <f>+_xlfn.XLOOKUP(B233,ajus!$B$2:$B$420,ajus!$C$2:$C$420)</f>
        <v>EL CALVARIO - AUT [3503500062;AO 03;FONDO ADAPTACION]</v>
      </c>
    </row>
    <row r="234" spans="2:9" hidden="1" x14ac:dyDescent="0.25">
      <c r="B234">
        <v>283</v>
      </c>
      <c r="C234" t="s">
        <v>626</v>
      </c>
      <c r="D234" t="s">
        <v>834</v>
      </c>
      <c r="E234" s="30">
        <v>0</v>
      </c>
      <c r="F234" t="s">
        <v>836</v>
      </c>
      <c r="I234" t="str">
        <f>+_xlfn.XLOOKUP(B234,ajus!$B$2:$B$420,ajus!$C$2:$C$420)</f>
        <v>PUENTE COHETANDO - AUT   [2105700099;CAU;HID;LM;N;AO04; H8; JISOLANO; 55-5; IPWD; R24;FNCM; ; ]</v>
      </c>
    </row>
    <row r="235" spans="2:9" hidden="1" x14ac:dyDescent="0.25">
      <c r="B235">
        <v>284</v>
      </c>
      <c r="C235" t="s">
        <v>627</v>
      </c>
      <c r="D235" t="s">
        <v>834</v>
      </c>
      <c r="E235" s="30">
        <v>0</v>
      </c>
      <c r="F235" t="s">
        <v>836</v>
      </c>
      <c r="G235" t="s">
        <v>830</v>
      </c>
      <c r="I235" t="str">
        <f>+_xlfn.XLOOKUP(B235,ajus!$B$2:$B$420,ajus!$C$2:$C$420)</f>
        <v>PAICOL - AUT [21057060; AO 04; HID; GPRS; FONDO ADAPTACION]</v>
      </c>
    </row>
    <row r="236" spans="2:9" hidden="1" x14ac:dyDescent="0.25">
      <c r="B236">
        <v>285</v>
      </c>
      <c r="C236" t="s">
        <v>887</v>
      </c>
      <c r="D236" t="s">
        <v>834</v>
      </c>
      <c r="E236" s="30">
        <v>0</v>
      </c>
      <c r="F236" t="s">
        <v>839</v>
      </c>
      <c r="G236" t="s">
        <v>852</v>
      </c>
      <c r="I236" t="e">
        <f>+_xlfn.XLOOKUP(B236,ajus!$B$2:$B$420,ajus!$C$2:$C$420)</f>
        <v>#N/A</v>
      </c>
    </row>
    <row r="237" spans="2:9" hidden="1" x14ac:dyDescent="0.25">
      <c r="B237">
        <v>288</v>
      </c>
      <c r="C237" t="s">
        <v>628</v>
      </c>
      <c r="D237" t="s">
        <v>834</v>
      </c>
      <c r="E237" s="30">
        <v>0</v>
      </c>
      <c r="F237" t="s">
        <v>836</v>
      </c>
      <c r="G237" t="s">
        <v>830</v>
      </c>
      <c r="I237" t="str">
        <f>+_xlfn.XLOOKUP(B237,ajus!$B$2:$B$420,ajus!$C$2:$C$420)</f>
        <v>SANTA MARIA  - AUT [21127030; AO 04; HID; GPRS; FONDO ADAPTACION]</v>
      </c>
    </row>
    <row r="238" spans="2:9" hidden="1" x14ac:dyDescent="0.25">
      <c r="B238">
        <v>289</v>
      </c>
      <c r="C238" t="s">
        <v>629</v>
      </c>
      <c r="D238" t="s">
        <v>834</v>
      </c>
      <c r="E238" s="30">
        <v>0</v>
      </c>
      <c r="F238" t="s">
        <v>836</v>
      </c>
      <c r="G238" t="s">
        <v>830</v>
      </c>
      <c r="I238" t="str">
        <f>+_xlfn.XLOOKUP(B238,ajus!$B$2:$B$420,ajus!$C$2:$C$420)</f>
        <v>CASCADA SIMON BOLIVAR  - AUT [21017030; AO 04; HID; GPRS; FONDO ADAPTACION]</v>
      </c>
    </row>
    <row r="239" spans="2:9" hidden="1" x14ac:dyDescent="0.25">
      <c r="B239">
        <v>290</v>
      </c>
      <c r="C239" t="s">
        <v>888</v>
      </c>
      <c r="D239" t="s">
        <v>834</v>
      </c>
      <c r="E239" s="30">
        <v>0</v>
      </c>
      <c r="F239" t="s">
        <v>836</v>
      </c>
      <c r="G239" t="s">
        <v>852</v>
      </c>
      <c r="I239" t="e">
        <f>+_xlfn.XLOOKUP(B239,ajus!$B$2:$B$420,ajus!$C$2:$C$420)</f>
        <v>#N/A</v>
      </c>
    </row>
    <row r="240" spans="2:9" hidden="1" x14ac:dyDescent="0.25">
      <c r="B240">
        <v>291</v>
      </c>
      <c r="C240" t="s">
        <v>630</v>
      </c>
      <c r="D240" t="s">
        <v>834</v>
      </c>
      <c r="E240" s="30">
        <v>0</v>
      </c>
      <c r="F240" t="s">
        <v>836</v>
      </c>
      <c r="G240" t="s">
        <v>838</v>
      </c>
      <c r="I240" t="str">
        <f>+_xlfn.XLOOKUP(B240,ajus!$B$2:$B$420,ajus!$C$2:$C$420)</f>
        <v>SUCRE - AUT   [4403700097; CAQ; HID; GOES: CB10C9AA; AO04; FONDO ADAPTACION]</v>
      </c>
    </row>
    <row r="241" spans="2:9" hidden="1" x14ac:dyDescent="0.25">
      <c r="B241">
        <v>292</v>
      </c>
      <c r="C241" t="s">
        <v>631</v>
      </c>
      <c r="D241" t="s">
        <v>834</v>
      </c>
      <c r="E241" s="30">
        <v>0</v>
      </c>
      <c r="F241" t="s">
        <v>839</v>
      </c>
      <c r="G241" t="s">
        <v>830</v>
      </c>
      <c r="I241" t="str">
        <f>+_xlfn.XLOOKUP(B241,ajus!$B$2:$B$420,ajus!$C$2:$C$420)</f>
        <v>MONIQUIRA  - AUT [24017600; AO 06; HID; GPRS; FONDO ADAPTACION]</v>
      </c>
    </row>
    <row r="242" spans="2:9" hidden="1" x14ac:dyDescent="0.25">
      <c r="B242">
        <v>293</v>
      </c>
      <c r="C242" t="s">
        <v>632</v>
      </c>
      <c r="D242" t="s">
        <v>828</v>
      </c>
      <c r="E242" s="30">
        <v>0</v>
      </c>
      <c r="F242" t="s">
        <v>836</v>
      </c>
      <c r="I242" t="str">
        <f>+_xlfn.XLOOKUP(B242,ajus!$B$2:$B$420,ajus!$C$2:$C$420)</f>
        <v>MAGUARE - AUT [46035010; CAQ; MET; INMARSAT; AO04; FONDO ADAPTACIÓN]</v>
      </c>
    </row>
    <row r="243" spans="2:9" hidden="1" x14ac:dyDescent="0.25">
      <c r="B243">
        <v>294</v>
      </c>
      <c r="C243" t="s">
        <v>633</v>
      </c>
      <c r="D243" t="s">
        <v>834</v>
      </c>
      <c r="E243" s="30">
        <v>0</v>
      </c>
      <c r="F243" t="s">
        <v>836</v>
      </c>
      <c r="I243" t="str">
        <f>+_xlfn.XLOOKUP(B243,ajus!$B$2:$B$420,ajus!$C$2:$C$420)</f>
        <v>LA ESPERANZA - AUT [21097120; AO 04; HID; GPRS; FONDO ADAPTACION]</v>
      </c>
    </row>
    <row r="244" spans="2:9" hidden="1" x14ac:dyDescent="0.25">
      <c r="B244">
        <v>295</v>
      </c>
      <c r="C244" t="s">
        <v>634</v>
      </c>
      <c r="D244" t="s">
        <v>828</v>
      </c>
      <c r="E244" s="30">
        <v>0</v>
      </c>
      <c r="F244" t="s">
        <v>836</v>
      </c>
      <c r="G244" t="s">
        <v>830</v>
      </c>
      <c r="I244" t="str">
        <f>+_xlfn.XLOOKUP(B244,ajus!$B$2:$B$420,ajus!$C$2:$C$420)</f>
        <v>SANTA ANA - AUT [21145080; AO 04; MET; GPRS; FONDO ADAPTACION]</v>
      </c>
    </row>
    <row r="245" spans="2:9" hidden="1" x14ac:dyDescent="0.25">
      <c r="B245">
        <v>296</v>
      </c>
      <c r="C245" t="s">
        <v>635</v>
      </c>
      <c r="D245" t="s">
        <v>828</v>
      </c>
      <c r="E245" s="30">
        <v>0</v>
      </c>
      <c r="F245" t="s">
        <v>847</v>
      </c>
      <c r="G245" t="s">
        <v>830</v>
      </c>
      <c r="I245" t="str">
        <f>+_xlfn.XLOOKUP(B245,ajus!$B$2:$B$420,ajus!$C$2:$C$420)</f>
        <v>CURUMANÍ - AUT [2805500075; AO 05; MET; GPRS; FONDO ADAPTACION]</v>
      </c>
    </row>
    <row r="246" spans="2:9" hidden="1" x14ac:dyDescent="0.25">
      <c r="B246">
        <v>297</v>
      </c>
      <c r="C246" t="s">
        <v>889</v>
      </c>
      <c r="D246" t="s">
        <v>828</v>
      </c>
      <c r="E246" s="30">
        <v>0</v>
      </c>
      <c r="F246" t="s">
        <v>847</v>
      </c>
      <c r="G246" t="s">
        <v>830</v>
      </c>
      <c r="I246" t="e">
        <f>+_xlfn.XLOOKUP(B246,ajus!$B$2:$B$420,ajus!$C$2:$C$420)</f>
        <v>#N/A</v>
      </c>
    </row>
    <row r="247" spans="2:9" hidden="1" x14ac:dyDescent="0.25">
      <c r="B247">
        <v>299</v>
      </c>
      <c r="C247" t="s">
        <v>890</v>
      </c>
      <c r="D247" t="s">
        <v>828</v>
      </c>
      <c r="E247" s="30">
        <v>0</v>
      </c>
      <c r="F247" t="s">
        <v>847</v>
      </c>
      <c r="I247" t="e">
        <f>+_xlfn.XLOOKUP(B247,ajus!$B$2:$B$420,ajus!$C$2:$C$420)</f>
        <v>#N/A</v>
      </c>
    </row>
    <row r="248" spans="2:9" hidden="1" x14ac:dyDescent="0.25">
      <c r="B248">
        <v>300</v>
      </c>
      <c r="C248" t="s">
        <v>636</v>
      </c>
      <c r="D248" t="s">
        <v>828</v>
      </c>
      <c r="E248" s="30">
        <v>0</v>
      </c>
      <c r="F248" t="s">
        <v>847</v>
      </c>
      <c r="I248" t="str">
        <f>+_xlfn.XLOOKUP(B248,ajus!$B$2:$B$420,ajus!$C$2:$C$420)</f>
        <v>SAN LORENZO  - AUT [15015060; AO05; FONDO ADAPTACION]</v>
      </c>
    </row>
    <row r="249" spans="2:9" hidden="1" x14ac:dyDescent="0.25">
      <c r="B249">
        <v>301</v>
      </c>
      <c r="C249" t="s">
        <v>891</v>
      </c>
      <c r="D249" t="s">
        <v>834</v>
      </c>
      <c r="E249" s="30">
        <v>0</v>
      </c>
      <c r="F249" t="s">
        <v>847</v>
      </c>
      <c r="G249" t="s">
        <v>832</v>
      </c>
      <c r="I249" t="e">
        <f>+_xlfn.XLOOKUP(B249,ajus!$B$2:$B$420,ajus!$C$2:$C$420)</f>
        <v>#N/A</v>
      </c>
    </row>
    <row r="250" spans="2:9" hidden="1" x14ac:dyDescent="0.25">
      <c r="B250">
        <v>302</v>
      </c>
      <c r="C250" t="s">
        <v>637</v>
      </c>
      <c r="D250" t="s">
        <v>834</v>
      </c>
      <c r="E250" s="30">
        <v>0</v>
      </c>
      <c r="F250" t="s">
        <v>847</v>
      </c>
      <c r="I250" t="str">
        <f>+_xlfn.XLOOKUP(B250,ajus!$B$2:$B$420,ajus!$C$2:$C$420)</f>
        <v>RIO MANZANARES ALERTAS - AUT   [1501700160; MAG; HID; LG; N; AO05; H10; JSOLANO; 50-05; IPWD; R24; ; ; ]</v>
      </c>
    </row>
    <row r="251" spans="2:9" hidden="1" x14ac:dyDescent="0.25">
      <c r="B251">
        <v>304</v>
      </c>
      <c r="C251" t="s">
        <v>638</v>
      </c>
      <c r="D251" t="s">
        <v>834</v>
      </c>
      <c r="E251" s="30">
        <v>0</v>
      </c>
      <c r="F251" t="s">
        <v>837</v>
      </c>
      <c r="G251" t="s">
        <v>832</v>
      </c>
      <c r="I251" t="str">
        <f>+_xlfn.XLOOKUP(B251,ajus!$B$2:$B$420,ajus!$C$2:$C$420)</f>
        <v>BRISAS DEL NECHI [27027060;AO 01;FONDO ADAPTACION]</v>
      </c>
    </row>
    <row r="252" spans="2:9" hidden="1" x14ac:dyDescent="0.25">
      <c r="B252">
        <v>307</v>
      </c>
      <c r="C252" t="s">
        <v>892</v>
      </c>
      <c r="D252" t="s">
        <v>834</v>
      </c>
      <c r="E252" s="30">
        <v>0</v>
      </c>
      <c r="F252" t="s">
        <v>847</v>
      </c>
      <c r="I252" t="str">
        <f>+_xlfn.XLOOKUP(B252,ajus!$B$2:$B$420,ajus!$C$2:$C$420)</f>
        <v>EL VINCULO - AUT [26095320]</v>
      </c>
    </row>
    <row r="253" spans="2:9" hidden="1" x14ac:dyDescent="0.25">
      <c r="B253">
        <v>308</v>
      </c>
      <c r="C253" t="s">
        <v>639</v>
      </c>
      <c r="D253" t="s">
        <v>834</v>
      </c>
      <c r="E253" s="30">
        <v>0</v>
      </c>
      <c r="F253" t="s">
        <v>847</v>
      </c>
      <c r="G253" t="s">
        <v>838</v>
      </c>
      <c r="I253" t="str">
        <f>+_xlfn.XLOOKUP(B253,ajus!$B$2:$B$420,ajus!$C$2:$C$420)</f>
        <v>CHEMESQUEMENA - AUT [28017150; AO05; FONDO ADAPTACION]</v>
      </c>
    </row>
    <row r="254" spans="2:9" hidden="1" x14ac:dyDescent="0.25">
      <c r="B254">
        <v>310</v>
      </c>
      <c r="C254" t="s">
        <v>640</v>
      </c>
      <c r="D254" t="s">
        <v>828</v>
      </c>
      <c r="E254" s="30">
        <v>0</v>
      </c>
      <c r="F254" t="s">
        <v>847</v>
      </c>
      <c r="I254" t="str">
        <f>+_xlfn.XLOOKUP(B254,ajus!$B$2:$B$420,ajus!$C$2:$C$420)</f>
        <v>PALMOR - SIERRA NEVADA - AUT [2906500077; MAG; MET; INMARSAT; AO05; FONDO ADAPTACION]</v>
      </c>
    </row>
    <row r="255" spans="2:9" hidden="1" x14ac:dyDescent="0.25">
      <c r="B255">
        <v>311</v>
      </c>
      <c r="C255" t="s">
        <v>893</v>
      </c>
      <c r="D255" t="s">
        <v>828</v>
      </c>
      <c r="E255" s="30">
        <v>0</v>
      </c>
      <c r="F255" t="s">
        <v>847</v>
      </c>
      <c r="I255" t="e">
        <f>+_xlfn.XLOOKUP(B255,ajus!$B$2:$B$420,ajus!$C$2:$C$420)</f>
        <v>#N/A</v>
      </c>
    </row>
    <row r="256" spans="2:9" hidden="1" x14ac:dyDescent="0.25">
      <c r="B256">
        <v>312</v>
      </c>
      <c r="C256" t="s">
        <v>894</v>
      </c>
      <c r="D256" t="s">
        <v>828</v>
      </c>
      <c r="E256" s="30">
        <v>0</v>
      </c>
      <c r="F256" t="s">
        <v>847</v>
      </c>
      <c r="G256" t="s">
        <v>830</v>
      </c>
      <c r="I256" t="e">
        <f>+_xlfn.XLOOKUP(B256,ajus!$B$2:$B$420,ajus!$C$2:$C$420)</f>
        <v>#N/A</v>
      </c>
    </row>
    <row r="257" spans="2:9" hidden="1" x14ac:dyDescent="0.25">
      <c r="B257">
        <v>314</v>
      </c>
      <c r="C257" t="s">
        <v>641</v>
      </c>
      <c r="D257" t="s">
        <v>834</v>
      </c>
      <c r="E257" s="30">
        <v>0</v>
      </c>
      <c r="F257" t="s">
        <v>847</v>
      </c>
      <c r="G257" t="s">
        <v>830</v>
      </c>
      <c r="I257" t="str">
        <f>+_xlfn.XLOOKUP(B257,ajus!$B$2:$B$420,ajus!$C$2:$C$420)</f>
        <v>PUENTE SALGUERO  - AUT [28037030; AO 05; HID; GPRS; FONDO ADAPTACION]</v>
      </c>
    </row>
    <row r="258" spans="2:9" hidden="1" x14ac:dyDescent="0.25">
      <c r="B258">
        <v>315</v>
      </c>
      <c r="C258" t="s">
        <v>642</v>
      </c>
      <c r="D258" t="s">
        <v>828</v>
      </c>
      <c r="E258" s="30">
        <v>0</v>
      </c>
      <c r="F258" t="s">
        <v>847</v>
      </c>
      <c r="G258" t="s">
        <v>830</v>
      </c>
      <c r="I258" t="str">
        <f>+_xlfn.XLOOKUP(B258,ajus!$B$2:$B$420,ajus!$C$2:$C$420)</f>
        <v>CARACOLI [28030190; AO 05; FONDO ADAPTACION]</v>
      </c>
    </row>
    <row r="259" spans="2:9" hidden="1" x14ac:dyDescent="0.25">
      <c r="B259">
        <v>316</v>
      </c>
      <c r="C259" t="s">
        <v>643</v>
      </c>
      <c r="D259" t="s">
        <v>828</v>
      </c>
      <c r="E259" s="30">
        <v>0</v>
      </c>
      <c r="F259" t="s">
        <v>847</v>
      </c>
      <c r="G259" t="s">
        <v>838</v>
      </c>
      <c r="I259" t="str">
        <f>+_xlfn.XLOOKUP(B259,ajus!$B$2:$B$420,ajus!$C$2:$C$420)</f>
        <v>GUATAPURI [28035070; CES; MET; CP; AO05; H5; JSOLANO; 50-5; ; R24; FNCM; ; ]</v>
      </c>
    </row>
    <row r="260" spans="2:9" hidden="1" x14ac:dyDescent="0.25">
      <c r="B260">
        <v>317</v>
      </c>
      <c r="C260" t="s">
        <v>895</v>
      </c>
      <c r="D260" t="s">
        <v>834</v>
      </c>
      <c r="E260" s="30">
        <v>0</v>
      </c>
      <c r="F260" t="s">
        <v>847</v>
      </c>
      <c r="G260" t="s">
        <v>832</v>
      </c>
      <c r="I260" t="str">
        <f>+_xlfn.XLOOKUP(B260,ajus!$B$2:$B$420,ajus!$C$2:$C$420)</f>
        <v>CONEJERAS2 - AUT [26157170]</v>
      </c>
    </row>
    <row r="261" spans="2:9" hidden="1" x14ac:dyDescent="0.25">
      <c r="B261">
        <v>318</v>
      </c>
      <c r="C261" t="s">
        <v>644</v>
      </c>
      <c r="D261" t="s">
        <v>834</v>
      </c>
      <c r="E261" s="30">
        <v>0</v>
      </c>
      <c r="F261" t="s">
        <v>847</v>
      </c>
      <c r="G261" t="s">
        <v>838</v>
      </c>
      <c r="I261" t="str">
        <f>+_xlfn.XLOOKUP(B261,ajus!$B$2:$B$420,ajus!$C$2:$C$420)</f>
        <v>GANADERIA CARIBE  - AUT [29067150;AO05; FONDO ADAPTACION]</v>
      </c>
    </row>
    <row r="262" spans="2:9" hidden="1" x14ac:dyDescent="0.25">
      <c r="B262">
        <v>319</v>
      </c>
      <c r="C262" t="s">
        <v>645</v>
      </c>
      <c r="D262" t="s">
        <v>828</v>
      </c>
      <c r="E262" s="30">
        <v>0</v>
      </c>
      <c r="F262" t="s">
        <v>839</v>
      </c>
      <c r="G262" t="s">
        <v>830</v>
      </c>
      <c r="I262" t="str">
        <f>+_xlfn.XLOOKUP(B262,ajus!$B$2:$B$420,ajus!$C$2:$C$420)</f>
        <v>PANELAS [24010840; BOY; MET; GPRS_WIFI; AO06; FONDO ADAPTACION]</v>
      </c>
    </row>
    <row r="263" spans="2:9" hidden="1" x14ac:dyDescent="0.25">
      <c r="B263">
        <v>320</v>
      </c>
      <c r="C263" t="s">
        <v>646</v>
      </c>
      <c r="D263" t="s">
        <v>828</v>
      </c>
      <c r="E263" s="30">
        <v>0</v>
      </c>
      <c r="F263" t="s">
        <v>839</v>
      </c>
      <c r="G263" t="s">
        <v>830</v>
      </c>
      <c r="I263" t="str">
        <f>+_xlfn.XLOOKUP(B263,ajus!$B$2:$B$420,ajus!$C$2:$C$420)</f>
        <v>LA SIERRA - AUT [24025030; BOY; MET; AO06; FONDO ADAPTACION]</v>
      </c>
    </row>
    <row r="264" spans="2:9" hidden="1" x14ac:dyDescent="0.25">
      <c r="B264">
        <v>322</v>
      </c>
      <c r="C264" t="s">
        <v>647</v>
      </c>
      <c r="D264" t="s">
        <v>828</v>
      </c>
      <c r="E264" s="30">
        <v>0</v>
      </c>
      <c r="F264" t="s">
        <v>839</v>
      </c>
      <c r="G264" t="s">
        <v>856</v>
      </c>
      <c r="I264" t="str">
        <f>+_xlfn.XLOOKUP(B264,ajus!$B$2:$B$420,ajus!$C$2:$C$420)</f>
        <v>SIACHOQUE [24030140; BOY; MET;  AO06; FONDO ADAPTACION]</v>
      </c>
    </row>
    <row r="265" spans="2:9" hidden="1" x14ac:dyDescent="0.25">
      <c r="B265">
        <v>323</v>
      </c>
      <c r="C265" t="s">
        <v>648</v>
      </c>
      <c r="D265" t="s">
        <v>828</v>
      </c>
      <c r="E265" s="30">
        <v>0</v>
      </c>
      <c r="F265" t="s">
        <v>839</v>
      </c>
      <c r="G265" t="s">
        <v>832</v>
      </c>
      <c r="I265" t="str">
        <f>+_xlfn.XLOOKUP(B265,ajus!$B$2:$B$420,ajus!$C$2:$C$420)</f>
        <v>PESCA - AUT [24030120; BOY; MET; GPRS; AO06; FONDO ADAPTACION]</v>
      </c>
    </row>
    <row r="266" spans="2:9" hidden="1" x14ac:dyDescent="0.25">
      <c r="B266">
        <v>324</v>
      </c>
      <c r="C266" t="s">
        <v>649</v>
      </c>
      <c r="D266" t="s">
        <v>834</v>
      </c>
      <c r="E266" s="30">
        <v>0</v>
      </c>
      <c r="F266" t="s">
        <v>839</v>
      </c>
      <c r="G266" t="s">
        <v>830</v>
      </c>
      <c r="I266" t="str">
        <f>+_xlfn.XLOOKUP(B266,ajus!$B$2:$B$420,ajus!$C$2:$C$420)</f>
        <v>EL PALO - AUT [24037030;  AO06; HID; GPRS; FONDO ADAPTACION]</v>
      </c>
    </row>
    <row r="267" spans="2:9" hidden="1" x14ac:dyDescent="0.25">
      <c r="B267">
        <v>325</v>
      </c>
      <c r="C267" t="s">
        <v>650</v>
      </c>
      <c r="D267" t="s">
        <v>828</v>
      </c>
      <c r="E267" s="30">
        <v>0</v>
      </c>
      <c r="F267" t="s">
        <v>839</v>
      </c>
      <c r="G267" t="s">
        <v>832</v>
      </c>
      <c r="I267" t="str">
        <f>+_xlfn.XLOOKUP(B267,ajus!$B$2:$B$420,ajus!$C$2:$C$420)</f>
        <v>MONGUA [24030560; BOY; MET;; AO06; FONDO ADAPTACION]</v>
      </c>
    </row>
    <row r="268" spans="2:9" hidden="1" x14ac:dyDescent="0.25">
      <c r="B268">
        <v>326</v>
      </c>
      <c r="C268" t="s">
        <v>651</v>
      </c>
      <c r="D268" t="s">
        <v>828</v>
      </c>
      <c r="E268" s="30">
        <v>0</v>
      </c>
      <c r="F268" t="s">
        <v>839</v>
      </c>
      <c r="I268" t="str">
        <f>+_xlfn.XLOOKUP(B268,ajus!$B$2:$B$420,ajus!$C$2:$C$420)</f>
        <v>SUSA - AUT [2403500085; BOY; MET; INMARSAT; AO06; FONDO ADAPTACION]</v>
      </c>
    </row>
    <row r="269" spans="2:9" hidden="1" x14ac:dyDescent="0.25">
      <c r="B269">
        <v>327</v>
      </c>
      <c r="C269" t="s">
        <v>652</v>
      </c>
      <c r="D269" t="s">
        <v>834</v>
      </c>
      <c r="E269" s="30">
        <v>0</v>
      </c>
      <c r="F269" t="s">
        <v>839</v>
      </c>
      <c r="G269" t="s">
        <v>832</v>
      </c>
      <c r="I269" t="str">
        <f>+_xlfn.XLOOKUP(B269,ajus!$B$2:$B$420,ajus!$C$2:$C$420)</f>
        <v>PUENTE TOTUMO  - AUT [24037490; AO06; HID;  FONDO ADAPTACION]</v>
      </c>
    </row>
    <row r="270" spans="2:9" hidden="1" x14ac:dyDescent="0.25">
      <c r="B270">
        <v>328</v>
      </c>
      <c r="C270" t="s">
        <v>653</v>
      </c>
      <c r="D270" t="s">
        <v>834</v>
      </c>
      <c r="E270" s="30">
        <v>0</v>
      </c>
      <c r="F270" t="s">
        <v>858</v>
      </c>
      <c r="I270" t="str">
        <f>+_xlfn.XLOOKUP(B270,ajus!$B$2:$B$420,ajus!$C$2:$C$420)</f>
        <v>GUAICARAMO - AUT [35107040;AO 03;FONDO ADAPTACION;SINIESTRO]</v>
      </c>
    </row>
    <row r="271" spans="2:9" hidden="1" x14ac:dyDescent="0.25">
      <c r="B271">
        <v>329</v>
      </c>
      <c r="C271" t="s">
        <v>654</v>
      </c>
      <c r="D271" t="s">
        <v>834</v>
      </c>
      <c r="E271" s="30">
        <v>0</v>
      </c>
      <c r="F271" t="s">
        <v>829</v>
      </c>
      <c r="G271" t="s">
        <v>832</v>
      </c>
      <c r="I271" t="str">
        <f>+_xlfn.XLOOKUP(B271,ajus!$B$2:$B$420,ajus!$C$2:$C$420)</f>
        <v>EL EDEN - AUT [47017070;AO 07;FONDO ADAPTACION]</v>
      </c>
    </row>
    <row r="272" spans="2:9" hidden="1" x14ac:dyDescent="0.25">
      <c r="B272">
        <v>330</v>
      </c>
      <c r="C272" t="s">
        <v>655</v>
      </c>
      <c r="D272" t="s">
        <v>834</v>
      </c>
      <c r="E272" s="30">
        <v>0</v>
      </c>
      <c r="F272" t="s">
        <v>839</v>
      </c>
      <c r="G272" t="s">
        <v>830</v>
      </c>
      <c r="I272" t="str">
        <f>+_xlfn.XLOOKUP(B272,ajus!$B$2:$B$420,ajus!$C$2:$C$420)</f>
        <v>SAN SALVADOR - AUT   [3602700101; A0 06; HID; GPRS; FONDO ADAPTACION ]</v>
      </c>
    </row>
    <row r="273" spans="2:9" hidden="1" x14ac:dyDescent="0.25">
      <c r="B273">
        <v>331</v>
      </c>
      <c r="C273" t="s">
        <v>656</v>
      </c>
      <c r="D273" t="s">
        <v>828</v>
      </c>
      <c r="E273" s="30">
        <v>0</v>
      </c>
      <c r="F273" t="s">
        <v>836</v>
      </c>
      <c r="G273" t="s">
        <v>832</v>
      </c>
      <c r="I273" t="str">
        <f>+_xlfn.XLOOKUP(B273,ajus!$B$2:$B$420,ajus!$C$2:$C$420)</f>
        <v>PARQUE ARQUEOLOGICO - AUT [21015030; HUI; MET; GPRS; AO04; FONDO ADAPTACION]</v>
      </c>
    </row>
    <row r="274" spans="2:9" hidden="1" x14ac:dyDescent="0.25">
      <c r="B274">
        <v>332</v>
      </c>
      <c r="C274" t="s">
        <v>657</v>
      </c>
      <c r="D274" t="s">
        <v>834</v>
      </c>
      <c r="E274" s="30">
        <v>0</v>
      </c>
      <c r="F274" t="s">
        <v>839</v>
      </c>
      <c r="G274" t="s">
        <v>830</v>
      </c>
      <c r="I274" t="str">
        <f>+_xlfn.XLOOKUP(B274,ajus!$B$2:$B$420,ajus!$C$2:$C$420)</f>
        <v>LA GRUTA  - AUT [24037080; AO06; HID;  FONDO ADAPTACION]</v>
      </c>
    </row>
    <row r="275" spans="2:9" hidden="1" x14ac:dyDescent="0.25">
      <c r="B275">
        <v>333</v>
      </c>
      <c r="C275" t="s">
        <v>658</v>
      </c>
      <c r="D275" t="s">
        <v>834</v>
      </c>
      <c r="E275" s="30">
        <v>0</v>
      </c>
      <c r="F275" t="s">
        <v>839</v>
      </c>
      <c r="I275" t="str">
        <f>+_xlfn.XLOOKUP(B275,ajus!$B$2:$B$420,ajus!$C$2:$C$420)</f>
        <v>MANI - AUT   [3519700092; AO 06; HID; GPRS; FONDO ADAPTACION ]</v>
      </c>
    </row>
    <row r="276" spans="2:9" hidden="1" x14ac:dyDescent="0.25">
      <c r="B276">
        <v>334</v>
      </c>
      <c r="C276" t="s">
        <v>659</v>
      </c>
      <c r="D276" t="s">
        <v>834</v>
      </c>
      <c r="E276" s="30">
        <v>0</v>
      </c>
      <c r="F276" t="s">
        <v>839</v>
      </c>
      <c r="G276" t="s">
        <v>838</v>
      </c>
      <c r="I276" t="str">
        <f>+_xlfn.XLOOKUP(B276,ajus!$B$2:$B$420,ajus!$C$2:$C$420)</f>
        <v>VADO HONDO  - AUT [35197020;AO06; HID; GOES; FONDO ADAPTACION]</v>
      </c>
    </row>
    <row r="277" spans="2:9" hidden="1" x14ac:dyDescent="0.25">
      <c r="B277">
        <v>335</v>
      </c>
      <c r="C277" t="s">
        <v>660</v>
      </c>
      <c r="D277" t="s">
        <v>834</v>
      </c>
      <c r="E277" s="30">
        <v>0</v>
      </c>
      <c r="F277" t="s">
        <v>847</v>
      </c>
      <c r="I277" t="str">
        <f>+_xlfn.XLOOKUP(B277,ajus!$B$2:$B$420,ajus!$C$2:$C$420)</f>
        <v>PUENTE SEVILLA  - AUT [29067160; AO05;  ORDEN PUBLICO]</v>
      </c>
    </row>
    <row r="278" spans="2:9" hidden="1" x14ac:dyDescent="0.25">
      <c r="B278">
        <v>336</v>
      </c>
      <c r="C278" t="s">
        <v>661</v>
      </c>
      <c r="D278" t="s">
        <v>828</v>
      </c>
      <c r="E278" s="30">
        <v>0</v>
      </c>
      <c r="F278" t="s">
        <v>839</v>
      </c>
      <c r="G278" t="s">
        <v>832</v>
      </c>
      <c r="I278" t="str">
        <f>+_xlfn.XLOOKUP(B278,ajus!$B$2:$B$420,ajus!$C$2:$C$420)</f>
        <v>UNIVERSIDAD PEDAGÓGICA Y TECNOLÓGICA DE COLOMBIA TUNJA - AUT [2401500086; BOY; MET; WIFI; AO06; FONDO ADAPTACION]</v>
      </c>
    </row>
    <row r="279" spans="2:9" hidden="1" x14ac:dyDescent="0.25">
      <c r="B279">
        <v>337</v>
      </c>
      <c r="C279" t="s">
        <v>662</v>
      </c>
      <c r="D279" t="s">
        <v>834</v>
      </c>
      <c r="E279" s="30">
        <v>0</v>
      </c>
      <c r="F279" t="s">
        <v>836</v>
      </c>
      <c r="G279" t="s">
        <v>830</v>
      </c>
      <c r="I279" t="str">
        <f>+_xlfn.XLOOKUP(B279,ajus!$B$2:$B$420,ajus!$C$2:$C$420)</f>
        <v>SAN MARCOS  - AUT [21037020; HUI; HID; INMARSAT; AO04; FONDO ADAPTACION]</v>
      </c>
    </row>
    <row r="280" spans="2:9" hidden="1" x14ac:dyDescent="0.25">
      <c r="B280">
        <v>338</v>
      </c>
      <c r="C280" t="s">
        <v>663</v>
      </c>
      <c r="D280" t="s">
        <v>828</v>
      </c>
      <c r="E280" s="30">
        <v>0</v>
      </c>
      <c r="F280" t="s">
        <v>839</v>
      </c>
      <c r="G280" t="s">
        <v>830</v>
      </c>
      <c r="I280" t="str">
        <f>+_xlfn.XLOOKUP(B280,ajus!$B$2:$B$420,ajus!$C$2:$C$420)</f>
        <v>CHITA  - AUT [24035250; AO 06; MET; GPRS; FONDO ADAPTACION]</v>
      </c>
    </row>
    <row r="281" spans="2:9" hidden="1" x14ac:dyDescent="0.25">
      <c r="B281">
        <v>339</v>
      </c>
      <c r="C281" t="s">
        <v>664</v>
      </c>
      <c r="D281" t="s">
        <v>834</v>
      </c>
      <c r="E281" s="30">
        <v>0</v>
      </c>
      <c r="F281" t="s">
        <v>839</v>
      </c>
      <c r="G281" t="s">
        <v>832</v>
      </c>
      <c r="I281" t="str">
        <f>+_xlfn.XLOOKUP(B281,ajus!$B$2:$B$420,ajus!$C$2:$C$420)</f>
        <v>PUENTE CHAMEZA  - AUT [24037290; AO06; HID; GPRS;  FONDO ADAPTACION]</v>
      </c>
    </row>
    <row r="282" spans="2:9" hidden="1" x14ac:dyDescent="0.25">
      <c r="B282">
        <v>340</v>
      </c>
      <c r="C282" t="s">
        <v>665</v>
      </c>
      <c r="D282" t="s">
        <v>828</v>
      </c>
      <c r="E282" s="30">
        <v>0</v>
      </c>
      <c r="F282" t="s">
        <v>839</v>
      </c>
      <c r="I282" t="str">
        <f>+_xlfn.XLOOKUP(B282,ajus!$B$2:$B$420,ajus!$C$2:$C$420)</f>
        <v>TEATINOS [35070310; BOY; MET; INMARSAT; AO06; FONDO ADAPTACION]</v>
      </c>
    </row>
    <row r="283" spans="2:9" hidden="1" x14ac:dyDescent="0.25">
      <c r="B283">
        <v>342</v>
      </c>
      <c r="C283" t="s">
        <v>666</v>
      </c>
      <c r="D283" t="s">
        <v>828</v>
      </c>
      <c r="E283" s="30">
        <v>0</v>
      </c>
      <c r="F283" t="s">
        <v>829</v>
      </c>
      <c r="I283" t="str">
        <f>+_xlfn.XLOOKUP(B283,ajus!$B$2:$B$420,ajus!$C$2:$C$420)</f>
        <v>RESERVA NATURAL LA PLANADA - AUT   [5102500128; AO 07; FONDO ADAPTACIÓN]</v>
      </c>
    </row>
    <row r="284" spans="2:9" hidden="1" x14ac:dyDescent="0.25">
      <c r="B284">
        <v>343</v>
      </c>
      <c r="C284" t="s">
        <v>667</v>
      </c>
      <c r="D284" t="s">
        <v>834</v>
      </c>
      <c r="E284" s="30">
        <v>0</v>
      </c>
      <c r="F284" t="s">
        <v>829</v>
      </c>
      <c r="G284" t="s">
        <v>830</v>
      </c>
      <c r="I284" t="str">
        <f>+_xlfn.XLOOKUP(B284,ajus!$B$2:$B$420,ajus!$C$2:$C$420)</f>
        <v>PUENTE LOS DOLORES - AUT  [5204700100;AO 07;FONDO ADAPTACION]</v>
      </c>
    </row>
    <row r="285" spans="2:9" hidden="1" x14ac:dyDescent="0.25">
      <c r="B285">
        <v>344</v>
      </c>
      <c r="C285" t="s">
        <v>668</v>
      </c>
      <c r="D285" t="s">
        <v>828</v>
      </c>
      <c r="E285" s="30">
        <v>0</v>
      </c>
      <c r="F285" t="s">
        <v>829</v>
      </c>
      <c r="G285" t="s">
        <v>830</v>
      </c>
      <c r="I285" t="str">
        <f>+_xlfn.XLOOKUP(B285,ajus!$B$2:$B$420,ajus!$C$2:$C$420)</f>
        <v>EL ENCANO - AUT [47015100; AO 07;FONDO ADAPTACION]</v>
      </c>
    </row>
    <row r="286" spans="2:9" hidden="1" x14ac:dyDescent="0.25">
      <c r="B286">
        <v>345</v>
      </c>
      <c r="C286" t="s">
        <v>669</v>
      </c>
      <c r="D286" t="s">
        <v>828</v>
      </c>
      <c r="E286" s="30">
        <v>0</v>
      </c>
      <c r="F286" t="s">
        <v>829</v>
      </c>
      <c r="G286" t="s">
        <v>830</v>
      </c>
      <c r="I286" t="str">
        <f>+_xlfn.XLOOKUP(B286,ajus!$B$2:$B$420,ajus!$C$2:$C$420)</f>
        <v>APONTE [52040050;AO 07;FONDO ADAPTACION]</v>
      </c>
    </row>
    <row r="287" spans="2:9" hidden="1" x14ac:dyDescent="0.25">
      <c r="B287">
        <v>346</v>
      </c>
      <c r="C287" t="s">
        <v>670</v>
      </c>
      <c r="D287" t="s">
        <v>828</v>
      </c>
      <c r="E287" s="30">
        <v>0</v>
      </c>
      <c r="F287" t="s">
        <v>829</v>
      </c>
      <c r="G287" t="s">
        <v>838</v>
      </c>
      <c r="I287" t="str">
        <f>+_xlfn.XLOOKUP(B287,ajus!$B$2:$B$420,ajus!$C$2:$C$420)</f>
        <v>LAS IGLESIAS  - AUT [5205500123; GOES; AO07; ]</v>
      </c>
    </row>
    <row r="288" spans="2:9" hidden="1" x14ac:dyDescent="0.25">
      <c r="B288">
        <v>347</v>
      </c>
      <c r="C288" t="s">
        <v>671</v>
      </c>
      <c r="D288" t="s">
        <v>834</v>
      </c>
      <c r="E288" s="30">
        <v>0</v>
      </c>
      <c r="F288" t="s">
        <v>836</v>
      </c>
      <c r="I288" t="str">
        <f>+_xlfn.XLOOKUP(B288,ajus!$B$2:$B$420,ajus!$C$2:$C$420)</f>
        <v>MORELIA  - AUT [44037080; AO 04; HID; GPRS; FONDO ADAPTACION]</v>
      </c>
    </row>
    <row r="289" spans="2:9" hidden="1" x14ac:dyDescent="0.25">
      <c r="B289">
        <v>348</v>
      </c>
      <c r="C289" t="s">
        <v>672</v>
      </c>
      <c r="D289" t="s">
        <v>828</v>
      </c>
      <c r="E289" s="30">
        <v>0</v>
      </c>
      <c r="F289" t="s">
        <v>829</v>
      </c>
      <c r="I289" t="str">
        <f>+_xlfn.XLOOKUP(B289,ajus!$B$2:$B$420,ajus!$C$2:$C$420)</f>
        <v>SANTIAGO - AUT   [52020070; AO07;]</v>
      </c>
    </row>
    <row r="290" spans="2:9" hidden="1" x14ac:dyDescent="0.25">
      <c r="B290">
        <v>350</v>
      </c>
      <c r="C290" t="s">
        <v>673</v>
      </c>
      <c r="D290" t="s">
        <v>834</v>
      </c>
      <c r="E290" s="30">
        <v>0</v>
      </c>
      <c r="F290" t="s">
        <v>831</v>
      </c>
      <c r="I290" t="str">
        <f>+_xlfn.XLOOKUP(B290,ajus!$B$2:$B$420,ajus!$C$2:$C$420)</f>
        <v>PUERTO LEON - AUT [16027060; NDS; HID; INMARSAT; AO08; FONDO ADAPTACION]</v>
      </c>
    </row>
    <row r="291" spans="2:9" hidden="1" x14ac:dyDescent="0.25">
      <c r="B291" s="20">
        <v>351</v>
      </c>
      <c r="C291" t="s">
        <v>896</v>
      </c>
      <c r="D291" t="s">
        <v>828</v>
      </c>
      <c r="E291" s="30">
        <v>1</v>
      </c>
      <c r="F291" s="20" t="s">
        <v>897</v>
      </c>
      <c r="I291" t="e">
        <f>+_xlfn.XLOOKUP(B291,ajus!$B$2:$B$420,ajus!$C$2:$C$420)</f>
        <v>#N/A</v>
      </c>
    </row>
    <row r="292" spans="2:9" hidden="1" x14ac:dyDescent="0.25">
      <c r="B292">
        <v>352</v>
      </c>
      <c r="C292" t="s">
        <v>674</v>
      </c>
      <c r="D292" t="s">
        <v>828</v>
      </c>
      <c r="E292" s="30">
        <v>0</v>
      </c>
      <c r="F292" t="s">
        <v>831</v>
      </c>
      <c r="G292" t="s">
        <v>830</v>
      </c>
      <c r="I292" t="str">
        <f>+_xlfn.XLOOKUP(B292,ajus!$B$2:$B$420,ajus!$C$2:$C$420)</f>
        <v>ARBOLEDAS - AUT   [1602500110; AO 08; MET; GPRS; FONDO ADAPTACION ]</v>
      </c>
    </row>
    <row r="293" spans="2:9" hidden="1" x14ac:dyDescent="0.25">
      <c r="B293" s="20">
        <v>353</v>
      </c>
      <c r="C293" t="s">
        <v>898</v>
      </c>
      <c r="D293" t="s">
        <v>828</v>
      </c>
      <c r="E293" s="30">
        <v>1</v>
      </c>
      <c r="F293" s="20" t="s">
        <v>897</v>
      </c>
      <c r="I293" t="e">
        <f>+_xlfn.XLOOKUP(B293,ajus!$B$2:$B$420,ajus!$C$2:$C$420)</f>
        <v>#N/A</v>
      </c>
    </row>
    <row r="294" spans="2:9" hidden="1" x14ac:dyDescent="0.25">
      <c r="B294">
        <v>354</v>
      </c>
      <c r="C294" t="s">
        <v>675</v>
      </c>
      <c r="D294" t="s">
        <v>828</v>
      </c>
      <c r="E294" s="30">
        <v>0</v>
      </c>
      <c r="F294" t="s">
        <v>831</v>
      </c>
      <c r="G294" t="s">
        <v>832</v>
      </c>
      <c r="I294" t="str">
        <f>+_xlfn.XLOOKUP(B294,ajus!$B$2:$B$420,ajus!$C$2:$C$420)</f>
        <v>CHINACOTA - AUT   [3701500114; AO 08; MET; GPRS; FONDO ADAPTACION]</v>
      </c>
    </row>
    <row r="295" spans="2:9" hidden="1" x14ac:dyDescent="0.25">
      <c r="B295">
        <v>355</v>
      </c>
      <c r="C295" t="s">
        <v>676</v>
      </c>
      <c r="D295" t="s">
        <v>834</v>
      </c>
      <c r="E295" s="30">
        <v>0</v>
      </c>
      <c r="F295" t="s">
        <v>831</v>
      </c>
      <c r="I295" t="str">
        <f>+_xlfn.XLOOKUP(B295,ajus!$B$2:$B$420,ajus!$C$2:$C$420)</f>
        <v>AGUAS CLARAS  - AUT [16017010; NDS; HID; INMARSAT; AO08; FONDO ADAPTACION]</v>
      </c>
    </row>
    <row r="296" spans="2:9" hidden="1" x14ac:dyDescent="0.25">
      <c r="B296">
        <v>356</v>
      </c>
      <c r="C296" t="s">
        <v>677</v>
      </c>
      <c r="D296" t="s">
        <v>834</v>
      </c>
      <c r="E296" s="30">
        <v>0</v>
      </c>
      <c r="F296" t="s">
        <v>831</v>
      </c>
      <c r="I296" t="str">
        <f>+_xlfn.XLOOKUP(B296,ajus!$B$2:$B$420,ajus!$C$2:$C$420)</f>
        <v>PUERTO BARCO-GABARRA - AUT [16067010; NDS; HID; INMARSAT; AO08; FONDO ADAPTACION]</v>
      </c>
    </row>
    <row r="297" spans="2:9" hidden="1" x14ac:dyDescent="0.25">
      <c r="B297">
        <v>357</v>
      </c>
      <c r="C297" t="s">
        <v>678</v>
      </c>
      <c r="D297" t="s">
        <v>828</v>
      </c>
      <c r="E297" s="30">
        <v>0</v>
      </c>
      <c r="F297" t="s">
        <v>831</v>
      </c>
      <c r="I297" t="str">
        <f>+_xlfn.XLOOKUP(B297,ajus!$B$2:$B$420,ajus!$C$2:$C$420)</f>
        <v>VETAS - AUT   [2319500137; SAN; MET; CP; N; AO08; H10; GCAICEDO; 45-15; IPWD; R24; ; ; ]</v>
      </c>
    </row>
    <row r="298" spans="2:9" hidden="1" x14ac:dyDescent="0.25">
      <c r="B298">
        <v>358</v>
      </c>
      <c r="C298" t="s">
        <v>679</v>
      </c>
      <c r="D298" t="s">
        <v>828</v>
      </c>
      <c r="E298" s="30">
        <v>0</v>
      </c>
      <c r="F298" t="s">
        <v>831</v>
      </c>
      <c r="G298" t="s">
        <v>832</v>
      </c>
      <c r="I298" t="str">
        <f>+_xlfn.XLOOKUP(B298,ajus!$B$2:$B$420,ajus!$C$2:$C$420)</f>
        <v>POLIDEPORTIVO CACHIRA - AUT   [2319500125; AO 08; MET; GPRS; FONTO ADAPTACION]</v>
      </c>
    </row>
    <row r="299" spans="2:9" hidden="1" x14ac:dyDescent="0.25">
      <c r="B299">
        <v>359</v>
      </c>
      <c r="C299" t="s">
        <v>680</v>
      </c>
      <c r="D299" t="s">
        <v>834</v>
      </c>
      <c r="E299" s="30">
        <v>0</v>
      </c>
      <c r="F299" t="s">
        <v>831</v>
      </c>
      <c r="I299" t="str">
        <f>+_xlfn.XLOOKUP(B299,ajus!$B$2:$B$420,ajus!$C$2:$C$420)</f>
        <v>PUENTE LOPEZ - AUT [37017040; NDS; HID; INMARSAT; AO08; FONDO ADAPTACION]</v>
      </c>
    </row>
    <row r="300" spans="2:9" hidden="1" x14ac:dyDescent="0.25">
      <c r="B300">
        <v>360</v>
      </c>
      <c r="C300" t="s">
        <v>681</v>
      </c>
      <c r="D300" t="s">
        <v>834</v>
      </c>
      <c r="E300" s="30">
        <v>0</v>
      </c>
      <c r="F300" t="s">
        <v>831</v>
      </c>
      <c r="I300" t="str">
        <f>+_xlfn.XLOOKUP(B300,ajus!$B$2:$B$420,ajus!$C$2:$C$420)</f>
        <v>PEÑA DE LOS MICOS - AUT [37027010; NDS; HID; INMARSAT; AO08; FONDO ADAPTACION]</v>
      </c>
    </row>
    <row r="301" spans="2:9" hidden="1" x14ac:dyDescent="0.25">
      <c r="B301">
        <v>361</v>
      </c>
      <c r="C301" t="s">
        <v>682</v>
      </c>
      <c r="D301" t="s">
        <v>834</v>
      </c>
      <c r="E301" s="30">
        <v>0</v>
      </c>
      <c r="F301" t="s">
        <v>831</v>
      </c>
      <c r="I301" t="str">
        <f>+_xlfn.XLOOKUP(B301,ajus!$B$2:$B$420,ajus!$C$2:$C$420)</f>
        <v>PASO DE LA CANOA - AUT [37037010; BOY; HID; INMARSAT; AO08; FONDO ADAPTACION]</v>
      </c>
    </row>
    <row r="302" spans="2:9" hidden="1" x14ac:dyDescent="0.25">
      <c r="B302">
        <v>362</v>
      </c>
      <c r="C302" t="s">
        <v>683</v>
      </c>
      <c r="D302" t="s">
        <v>828</v>
      </c>
      <c r="E302" s="30">
        <v>0</v>
      </c>
      <c r="F302" t="s">
        <v>831</v>
      </c>
      <c r="I302" t="str">
        <f>+_xlfn.XLOOKUP(B302,ajus!$B$2:$B$420,ajus!$C$2:$C$420)</f>
        <v>CAMPO HERMOSO - AUT   [3702500113; NDS; MET; CP; N; AO08; H8; DOSPINA; 55-5; IPWD; R24; FNCM]</v>
      </c>
    </row>
    <row r="303" spans="2:9" hidden="1" x14ac:dyDescent="0.25">
      <c r="B303">
        <v>364</v>
      </c>
      <c r="C303" t="s">
        <v>684</v>
      </c>
      <c r="D303" t="s">
        <v>828</v>
      </c>
      <c r="E303" s="30">
        <v>0</v>
      </c>
      <c r="F303" t="s">
        <v>831</v>
      </c>
      <c r="G303" t="s">
        <v>830</v>
      </c>
      <c r="I303" t="str">
        <f>+_xlfn.XLOOKUP(B303,ajus!$B$2:$B$420,ajus!$C$2:$C$420)</f>
        <v>PUENTE GUILLERMO - AUT  [2401500052; AO 08; MET; GPRS; FONDO ADAPTACION]</v>
      </c>
    </row>
    <row r="304" spans="2:9" hidden="1" x14ac:dyDescent="0.25">
      <c r="B304">
        <v>365</v>
      </c>
      <c r="C304" t="s">
        <v>685</v>
      </c>
      <c r="D304" t="s">
        <v>834</v>
      </c>
      <c r="E304" s="30">
        <v>0</v>
      </c>
      <c r="F304" t="s">
        <v>831</v>
      </c>
      <c r="G304" t="s">
        <v>832</v>
      </c>
      <c r="I304" t="str">
        <f>+_xlfn.XLOOKUP(B304,ajus!$B$2:$B$420,ajus!$C$2:$C$420)</f>
        <v>PUENTE NACIONAL - AUT [24017590; AO 08; HID; GPRS; FONDO ADAPTACION]</v>
      </c>
    </row>
    <row r="305" spans="2:9" hidden="1" x14ac:dyDescent="0.25">
      <c r="B305">
        <v>366</v>
      </c>
      <c r="C305" t="s">
        <v>686</v>
      </c>
      <c r="D305" t="s">
        <v>834</v>
      </c>
      <c r="E305" s="30">
        <v>0</v>
      </c>
      <c r="F305" t="s">
        <v>831</v>
      </c>
      <c r="I305" t="str">
        <f>+_xlfn.XLOOKUP(B305,ajus!$B$2:$B$420,ajus!$C$2:$C$420)</f>
        <v>LAS MINAS - AUT   [2401700091;SAN;HID;LG;N;AO08;H8; GCAICEDO; 55-5; IPWD; R24;FNCM; ;]</v>
      </c>
    </row>
    <row r="306" spans="2:9" hidden="1" x14ac:dyDescent="0.25">
      <c r="B306">
        <v>367</v>
      </c>
      <c r="C306" t="s">
        <v>687</v>
      </c>
      <c r="D306" t="s">
        <v>828</v>
      </c>
      <c r="E306" s="30">
        <v>0</v>
      </c>
      <c r="F306" t="s">
        <v>831</v>
      </c>
      <c r="I306" t="str">
        <f>+_xlfn.XLOOKUP(B306,ajus!$B$2:$B$420,ajus!$C$2:$C$420)</f>
        <v>EL PARAMO - AUT [24030680; SAN; MET; CP; N; AO08; H7; DOSPINA; 0; IPWD; R24;FNCM; ; ]</v>
      </c>
    </row>
    <row r="307" spans="2:9" hidden="1" x14ac:dyDescent="0.25">
      <c r="B307">
        <v>368</v>
      </c>
      <c r="C307" t="s">
        <v>688</v>
      </c>
      <c r="D307" t="s">
        <v>828</v>
      </c>
      <c r="E307" s="30">
        <v>0</v>
      </c>
      <c r="F307" t="s">
        <v>831</v>
      </c>
      <c r="I307" t="str">
        <f>+_xlfn.XLOOKUP(B307,ajus!$B$2:$B$420,ajus!$C$2:$C$420)</f>
        <v>EL PORTILLO - AUT   [3701500117; NDS; MET; CP; N; AO08; H6; OCARVAJAL; 0; IPWD; R24; FNCM; ; ]</v>
      </c>
    </row>
    <row r="308" spans="2:9" hidden="1" x14ac:dyDescent="0.25">
      <c r="B308">
        <v>369</v>
      </c>
      <c r="C308" t="s">
        <v>689</v>
      </c>
      <c r="D308" t="s">
        <v>828</v>
      </c>
      <c r="E308" s="30">
        <v>0</v>
      </c>
      <c r="F308" t="s">
        <v>831</v>
      </c>
      <c r="G308" t="s">
        <v>830</v>
      </c>
      <c r="I308" t="str">
        <f>+_xlfn.XLOOKUP(B308,ajus!$B$2:$B$420,ajus!$C$2:$C$420)</f>
        <v>LLANO GRANDE  - AUT [23195110; AO 08; MET; GPRS; FONDO ADAPTACION]</v>
      </c>
    </row>
    <row r="309" spans="2:9" hidden="1" x14ac:dyDescent="0.25">
      <c r="B309">
        <v>370</v>
      </c>
      <c r="C309" t="s">
        <v>690</v>
      </c>
      <c r="D309" t="s">
        <v>828</v>
      </c>
      <c r="E309" s="30">
        <v>0</v>
      </c>
      <c r="F309" t="s">
        <v>842</v>
      </c>
      <c r="G309" t="s">
        <v>832</v>
      </c>
      <c r="I309" t="str">
        <f>+_xlfn.XLOOKUP(B309,ajus!$B$2:$B$420,ajus!$C$2:$C$420)</f>
        <v>LAS BRISAS - AUT [26155150; CAL; MET;WIFI; AO09; FONDO ADAPTACION]</v>
      </c>
    </row>
    <row r="310" spans="2:9" hidden="1" x14ac:dyDescent="0.25">
      <c r="B310">
        <v>371</v>
      </c>
      <c r="C310" t="s">
        <v>899</v>
      </c>
      <c r="D310" t="s">
        <v>834</v>
      </c>
      <c r="E310" s="30">
        <v>0</v>
      </c>
      <c r="F310" t="s">
        <v>831</v>
      </c>
      <c r="I310" t="str">
        <f>+_xlfn.XLOOKUP(B310,ajus!$B$2:$B$420,ajus!$C$2:$C$420)</f>
        <v>PALMARITO - AUT [2804500076]</v>
      </c>
    </row>
    <row r="311" spans="2:9" hidden="1" x14ac:dyDescent="0.25">
      <c r="B311">
        <v>372</v>
      </c>
      <c r="C311" t="s">
        <v>691</v>
      </c>
      <c r="D311" t="s">
        <v>834</v>
      </c>
      <c r="E311" s="30">
        <v>0</v>
      </c>
      <c r="F311" t="s">
        <v>831</v>
      </c>
      <c r="I311" t="str">
        <f>+_xlfn.XLOOKUP(B311,ajus!$B$2:$B$420,ajus!$C$2:$C$420)</f>
        <v>ASTILLEROS - AUT [16027280; NDS; HID; INMARSAT; AO08; FONDO ADAPTACION]</v>
      </c>
    </row>
    <row r="312" spans="2:9" hidden="1" x14ac:dyDescent="0.25">
      <c r="B312">
        <v>373</v>
      </c>
      <c r="C312" t="s">
        <v>692</v>
      </c>
      <c r="D312" t="s">
        <v>834</v>
      </c>
      <c r="E312" s="30">
        <v>0</v>
      </c>
      <c r="F312" t="s">
        <v>831</v>
      </c>
      <c r="I312" t="str">
        <f>+_xlfn.XLOOKUP(B312,ajus!$B$2:$B$420,ajus!$C$2:$C$420)</f>
        <v>PALO GRANDE - AUT   [1605700152;NDS;HID;LG;N;AO08;H8; GCAICEDO; 40-10; IPWD; R24;FNCM;5.8.8; ]</v>
      </c>
    </row>
    <row r="313" spans="2:9" hidden="1" x14ac:dyDescent="0.25">
      <c r="B313">
        <v>374</v>
      </c>
      <c r="C313" t="s">
        <v>693</v>
      </c>
      <c r="D313" t="s">
        <v>834</v>
      </c>
      <c r="E313" s="30">
        <v>0</v>
      </c>
      <c r="F313" t="s">
        <v>831</v>
      </c>
      <c r="I313" t="str">
        <f>+_xlfn.XLOOKUP(B313,ajus!$B$2:$B$420,ajus!$C$2:$C$420)</f>
        <v>LA BODEGA - AUT [23107020; ANT; HID; INMARSAT; AO08; FONDO ADAPTACION]</v>
      </c>
    </row>
    <row r="314" spans="2:9" hidden="1" x14ac:dyDescent="0.25">
      <c r="B314">
        <v>375</v>
      </c>
      <c r="C314" t="s">
        <v>694</v>
      </c>
      <c r="D314" t="s">
        <v>834</v>
      </c>
      <c r="E314" s="30">
        <v>0</v>
      </c>
      <c r="F314" t="s">
        <v>831</v>
      </c>
      <c r="I314" t="str">
        <f>+_xlfn.XLOOKUP(B314,ajus!$B$2:$B$420,ajus!$C$2:$C$420)</f>
        <v>SAN JUAN DE LOS CHORROS - AUT   [2319700096;SAN;HID;LG;N;AO08; ]</v>
      </c>
    </row>
    <row r="315" spans="2:9" hidden="1" x14ac:dyDescent="0.25">
      <c r="B315">
        <v>376</v>
      </c>
      <c r="C315" t="s">
        <v>695</v>
      </c>
      <c r="D315" t="s">
        <v>834</v>
      </c>
      <c r="E315" s="30">
        <v>0</v>
      </c>
      <c r="F315" t="s">
        <v>831</v>
      </c>
      <c r="G315" t="s">
        <v>852</v>
      </c>
      <c r="I315" t="str">
        <f>+_xlfn.XLOOKUP(B315,ajus!$B$2:$B$420,ajus!$C$2:$C$420)</f>
        <v>MAJADAS - AUT [23197700; AO 08; HID; GPRS;  FONDO ADAPTACION]</v>
      </c>
    </row>
    <row r="316" spans="2:9" hidden="1" x14ac:dyDescent="0.25">
      <c r="B316">
        <v>377</v>
      </c>
      <c r="C316" t="s">
        <v>696</v>
      </c>
      <c r="D316" t="s">
        <v>828</v>
      </c>
      <c r="E316" s="30">
        <v>0</v>
      </c>
      <c r="F316" t="s">
        <v>831</v>
      </c>
      <c r="G316" t="s">
        <v>830</v>
      </c>
      <c r="I316" t="str">
        <f>+_xlfn.XLOOKUP(B316,ajus!$B$2:$B$420,ajus!$C$2:$C$420)</f>
        <v>FLORIDABLANCA - AUT   [2319500043; AO 08; MET; GPRS; FONDO ADAPTACION]</v>
      </c>
    </row>
    <row r="317" spans="2:9" hidden="1" x14ac:dyDescent="0.25">
      <c r="B317">
        <v>378</v>
      </c>
      <c r="C317" t="s">
        <v>697</v>
      </c>
      <c r="D317" t="s">
        <v>828</v>
      </c>
      <c r="E317" s="30">
        <v>0</v>
      </c>
      <c r="F317" t="s">
        <v>831</v>
      </c>
      <c r="G317" t="s">
        <v>832</v>
      </c>
      <c r="I317" t="str">
        <f>+_xlfn.XLOOKUP(B317,ajus!$B$2:$B$420,ajus!$C$2:$C$420)</f>
        <v>TONA  - AUT [23190130; AO 08; MET; GPRS; FONDO ADAPTACION]</v>
      </c>
    </row>
    <row r="318" spans="2:9" hidden="1" x14ac:dyDescent="0.25">
      <c r="B318">
        <v>379</v>
      </c>
      <c r="C318" t="s">
        <v>698</v>
      </c>
      <c r="D318" t="s">
        <v>828</v>
      </c>
      <c r="E318" s="30">
        <v>0</v>
      </c>
      <c r="F318" t="s">
        <v>831</v>
      </c>
      <c r="G318" t="s">
        <v>832</v>
      </c>
      <c r="I318" t="str">
        <f>+_xlfn.XLOOKUP(B318,ajus!$B$2:$B$420,ajus!$C$2:$C$420)</f>
        <v>ARAUCA TERMINAL - AUT [3706500109; AO 08; MET; GPRS; FONDO ADAPTACION]</v>
      </c>
    </row>
    <row r="319" spans="2:9" hidden="1" x14ac:dyDescent="0.25">
      <c r="B319">
        <v>380</v>
      </c>
      <c r="C319" t="s">
        <v>699</v>
      </c>
      <c r="D319" t="s">
        <v>828</v>
      </c>
      <c r="E319" s="30">
        <v>0</v>
      </c>
      <c r="F319" t="s">
        <v>831</v>
      </c>
      <c r="G319" t="s">
        <v>832</v>
      </c>
      <c r="I319" t="str">
        <f>+_xlfn.XLOOKUP(B319,ajus!$B$2:$B$420,ajus!$C$2:$C$420)</f>
        <v>CINERA-VILLA OLGA [16025040; AO 08; MET; GPRS; FONDO ADAPTACION ]</v>
      </c>
    </row>
    <row r="320" spans="2:9" hidden="1" x14ac:dyDescent="0.25">
      <c r="B320">
        <v>382</v>
      </c>
      <c r="C320" t="s">
        <v>700</v>
      </c>
      <c r="D320" t="s">
        <v>834</v>
      </c>
      <c r="E320" s="30">
        <v>0</v>
      </c>
      <c r="F320" t="s">
        <v>831</v>
      </c>
      <c r="I320" t="str">
        <f>+_xlfn.XLOOKUP(B320,ajus!$B$2:$B$420,ajus!$C$2:$C$420)</f>
        <v>PUENTE SARDINATA - AUT [16037030; NDS; HID; INMARSAT; AO08; FONDO ADAPTACION]</v>
      </c>
    </row>
    <row r="321" spans="2:9" hidden="1" x14ac:dyDescent="0.25">
      <c r="B321">
        <v>383</v>
      </c>
      <c r="C321" t="s">
        <v>701</v>
      </c>
      <c r="D321" t="s">
        <v>828</v>
      </c>
      <c r="E321" s="30">
        <v>0</v>
      </c>
      <c r="F321" t="s">
        <v>831</v>
      </c>
      <c r="I321" t="str">
        <f>+_xlfn.XLOOKUP(B321,ajus!$B$2:$B$420,ajus!$C$2:$C$420)</f>
        <v>LA MARIA - AUT [16040050; NDS; MET; INMARSAT; AO08; FONDO ADAPTACION]</v>
      </c>
    </row>
    <row r="322" spans="2:9" hidden="1" x14ac:dyDescent="0.25">
      <c r="B322">
        <v>384</v>
      </c>
      <c r="C322" t="s">
        <v>702</v>
      </c>
      <c r="D322" t="s">
        <v>834</v>
      </c>
      <c r="E322" s="30">
        <v>0</v>
      </c>
      <c r="F322" t="s">
        <v>842</v>
      </c>
      <c r="G322" t="s">
        <v>832</v>
      </c>
      <c r="I322" t="str">
        <f>+_xlfn.XLOOKUP(B322,ajus!$B$2:$B$420,ajus!$C$2:$C$420)</f>
        <v>PUENTE NEGRO  - AUT [26147140; AO 09; HID; GPRS; FONDO ADAPTACION]</v>
      </c>
    </row>
    <row r="323" spans="2:9" hidden="1" x14ac:dyDescent="0.25">
      <c r="B323">
        <v>385</v>
      </c>
      <c r="C323" t="s">
        <v>703</v>
      </c>
      <c r="D323" t="s">
        <v>834</v>
      </c>
      <c r="E323" s="30">
        <v>0</v>
      </c>
      <c r="F323" t="s">
        <v>831</v>
      </c>
      <c r="I323" t="str">
        <f>+_xlfn.XLOOKUP(B323,ajus!$B$2:$B$420,ajus!$C$2:$C$420)</f>
        <v>QUINCE LETRAS - AUT [16057040; NDS; HID; INMARSAT; AO08; FONDO ADAPTACION]</v>
      </c>
    </row>
    <row r="324" spans="2:9" hidden="1" x14ac:dyDescent="0.25">
      <c r="B324">
        <v>386</v>
      </c>
      <c r="C324" t="s">
        <v>704</v>
      </c>
      <c r="D324" t="s">
        <v>834</v>
      </c>
      <c r="E324" s="30">
        <v>0</v>
      </c>
      <c r="F324" t="s">
        <v>831</v>
      </c>
      <c r="G324" t="s">
        <v>838</v>
      </c>
      <c r="I324" t="str">
        <f>+_xlfn.XLOOKUP(B324,ajus!$B$2:$B$420,ajus!$C$2:$C$420)</f>
        <v>SANTA ROSA  - AUT [23127060; SAN; HID; GOES; AO08; FONDO ADAPTACION]</v>
      </c>
    </row>
    <row r="325" spans="2:9" hidden="1" x14ac:dyDescent="0.25">
      <c r="B325">
        <v>387</v>
      </c>
      <c r="C325" t="s">
        <v>900</v>
      </c>
      <c r="D325" t="s">
        <v>834</v>
      </c>
      <c r="E325" s="30">
        <v>0</v>
      </c>
      <c r="F325" t="s">
        <v>846</v>
      </c>
      <c r="I325" t="e">
        <f>+_xlfn.XLOOKUP(B325,ajus!$B$2:$B$420,ajus!$C$2:$C$420)</f>
        <v>#N/A</v>
      </c>
    </row>
    <row r="326" spans="2:9" hidden="1" x14ac:dyDescent="0.25">
      <c r="B326">
        <v>388</v>
      </c>
      <c r="C326" t="s">
        <v>705</v>
      </c>
      <c r="D326" t="s">
        <v>828</v>
      </c>
      <c r="E326" s="30">
        <v>0</v>
      </c>
      <c r="F326" t="s">
        <v>831</v>
      </c>
      <c r="G326" t="s">
        <v>832</v>
      </c>
      <c r="I326" t="str">
        <f>+_xlfn.XLOOKUP(B326,ajus!$B$2:$B$420,ajus!$C$2:$C$420)</f>
        <v>CACHIRI  - AUT [23195200; AO 08; MET; GPRS; FONDO ADAPTACION]</v>
      </c>
    </row>
    <row r="327" spans="2:9" hidden="1" x14ac:dyDescent="0.25">
      <c r="B327">
        <v>390</v>
      </c>
      <c r="C327" t="s">
        <v>706</v>
      </c>
      <c r="D327" t="s">
        <v>828</v>
      </c>
      <c r="E327" s="30">
        <v>0</v>
      </c>
      <c r="F327" t="s">
        <v>831</v>
      </c>
      <c r="I327" t="str">
        <f>+_xlfn.XLOOKUP(B327,ajus!$B$2:$B$420,ajus!$C$2:$C$420)</f>
        <v>CANELOS  - AUT [23205050; BOL; MET; INMARSAT; AO08; FONDO ADAPTACION]</v>
      </c>
    </row>
    <row r="328" spans="2:9" hidden="1" x14ac:dyDescent="0.25">
      <c r="B328">
        <v>391</v>
      </c>
      <c r="C328" t="s">
        <v>707</v>
      </c>
      <c r="D328" t="s">
        <v>834</v>
      </c>
      <c r="E328" s="30">
        <v>0</v>
      </c>
      <c r="F328" t="s">
        <v>831</v>
      </c>
      <c r="I328" t="str">
        <f>+_xlfn.XLOOKUP(B328,ajus!$B$2:$B$420,ajus!$C$2:$C$420)</f>
        <v>EL JUNCAL - AUT   [2405700149; SAN; HID; LG; N; AO08; H9; GCAICEDO; 45-15; IPWD; R24; ; ; ]</v>
      </c>
    </row>
    <row r="329" spans="2:9" hidden="1" x14ac:dyDescent="0.25">
      <c r="B329">
        <v>392</v>
      </c>
      <c r="C329" t="s">
        <v>708</v>
      </c>
      <c r="D329" t="s">
        <v>834</v>
      </c>
      <c r="E329" s="30">
        <v>0</v>
      </c>
      <c r="F329" t="s">
        <v>842</v>
      </c>
      <c r="I329" t="str">
        <f>+_xlfn.XLOOKUP(B329,ajus!$B$2:$B$420,ajus!$C$2:$C$420)</f>
        <v>PUENTE ARAGON  - AUT [26017060; CAU; HID; INMARSAT; AO09; FONDO ADAPTACION]</v>
      </c>
    </row>
    <row r="330" spans="2:9" hidden="1" x14ac:dyDescent="0.25">
      <c r="B330">
        <v>393</v>
      </c>
      <c r="C330" t="s">
        <v>709</v>
      </c>
      <c r="D330" t="s">
        <v>828</v>
      </c>
      <c r="E330" s="30">
        <v>0</v>
      </c>
      <c r="F330" t="s">
        <v>842</v>
      </c>
      <c r="I330" t="str">
        <f>+_xlfn.XLOOKUP(B330,ajus!$B$2:$B$420,ajus!$C$2:$C$420)</f>
        <v>SANTA LUCIA - AUT   [2610500131;VDC;MET; CP;N;AO09;H8; JSOCAMPO; 45-15; IPWD; R24;FNCM; ;]</v>
      </c>
    </row>
    <row r="331" spans="2:9" hidden="1" x14ac:dyDescent="0.25">
      <c r="B331">
        <v>394</v>
      </c>
      <c r="C331" t="s">
        <v>901</v>
      </c>
      <c r="D331" t="s">
        <v>828</v>
      </c>
      <c r="E331" s="30">
        <v>0</v>
      </c>
      <c r="F331" t="s">
        <v>842</v>
      </c>
      <c r="I331" t="e">
        <f>+_xlfn.XLOOKUP(B331,ajus!$B$2:$B$420,ajus!$C$2:$C$420)</f>
        <v>#N/A</v>
      </c>
    </row>
    <row r="332" spans="2:9" hidden="1" x14ac:dyDescent="0.25">
      <c r="B332">
        <v>395</v>
      </c>
      <c r="C332" t="s">
        <v>710</v>
      </c>
      <c r="D332" t="s">
        <v>828</v>
      </c>
      <c r="E332" s="30">
        <v>0</v>
      </c>
      <c r="F332" t="s">
        <v>842</v>
      </c>
      <c r="G332" t="s">
        <v>832</v>
      </c>
      <c r="I332" t="str">
        <f>+_xlfn.XLOOKUP(B332,ajus!$B$2:$B$420,ajus!$C$2:$C$420)</f>
        <v>LA ESPERANZA ANDALUCIA - AUT   [2615500122; GPRS; MET; AO09; FONDO DE ADAPTACION ]</v>
      </c>
    </row>
    <row r="333" spans="2:9" hidden="1" x14ac:dyDescent="0.25">
      <c r="B333">
        <v>396</v>
      </c>
      <c r="C333" t="s">
        <v>711</v>
      </c>
      <c r="D333" t="s">
        <v>828</v>
      </c>
      <c r="E333" s="30">
        <v>0</v>
      </c>
      <c r="F333" t="s">
        <v>842</v>
      </c>
      <c r="I333" t="str">
        <f>+_xlfn.XLOOKUP(B333,ajus!$B$2:$B$420,ajus!$C$2:$C$420)</f>
        <v>REMOLINO ALERTAS - EL VOLCAN - AUT   [2603500127; CAU; MET; CP; N; AO09; H6; DOSPINA; 45-15; IPWD; R24; FNCM; ; ]</v>
      </c>
    </row>
    <row r="334" spans="2:9" hidden="1" x14ac:dyDescent="0.25">
      <c r="B334">
        <v>398</v>
      </c>
      <c r="C334" t="s">
        <v>712</v>
      </c>
      <c r="D334" t="s">
        <v>834</v>
      </c>
      <c r="E334" s="30">
        <v>0</v>
      </c>
      <c r="F334" t="s">
        <v>829</v>
      </c>
      <c r="I334" t="str">
        <f>+_xlfn.XLOOKUP(B334,ajus!$B$2:$B$420,ajus!$C$2:$C$420)</f>
        <v>PUENTE CARRETERA [52017100; AO 07; ORDEN PUBLICO]</v>
      </c>
    </row>
    <row r="335" spans="2:9" hidden="1" x14ac:dyDescent="0.25">
      <c r="B335">
        <v>399</v>
      </c>
      <c r="C335" t="s">
        <v>713</v>
      </c>
      <c r="D335" t="s">
        <v>834</v>
      </c>
      <c r="E335" s="30">
        <v>0</v>
      </c>
      <c r="F335" t="s">
        <v>842</v>
      </c>
      <c r="I335" t="str">
        <f>+_xlfn.XLOOKUP(B335,ajus!$B$2:$B$420,ajus!$C$2:$C$420)</f>
        <v>IRRA  - AUT [26167070; AO 09; HID; GPRS; FONDO ADAPTACION]</v>
      </c>
    </row>
    <row r="336" spans="2:9" hidden="1" x14ac:dyDescent="0.25">
      <c r="B336">
        <v>400</v>
      </c>
      <c r="C336" t="s">
        <v>714</v>
      </c>
      <c r="D336" t="s">
        <v>834</v>
      </c>
      <c r="E336" s="30">
        <v>0</v>
      </c>
      <c r="F336" t="s">
        <v>842</v>
      </c>
      <c r="I336" t="str">
        <f>+_xlfn.XLOOKUP(B336,ajus!$B$2:$B$420,ajus!$C$2:$C$420)</f>
        <v>PUENTE CARRETERA  - AUT [26027200; CAU; HID; INMARSAT; AO09; FONDO ADAPTACION]</v>
      </c>
    </row>
    <row r="337" spans="2:9" hidden="1" x14ac:dyDescent="0.25">
      <c r="B337">
        <v>401</v>
      </c>
      <c r="C337" t="s">
        <v>715</v>
      </c>
      <c r="D337" t="s">
        <v>834</v>
      </c>
      <c r="E337" s="30">
        <v>0</v>
      </c>
      <c r="F337" t="s">
        <v>842</v>
      </c>
      <c r="G337" t="s">
        <v>832</v>
      </c>
      <c r="I337" t="str">
        <f>+_xlfn.XLOOKUP(B337,ajus!$B$2:$B$420,ajus!$C$2:$C$420)</f>
        <v>GUAYABAL - AUT   [2633700150; AO 09; HID; GPRS; FONDO ADAPTACIÓN ]</v>
      </c>
    </row>
    <row r="338" spans="2:9" hidden="1" x14ac:dyDescent="0.25">
      <c r="B338">
        <v>404</v>
      </c>
      <c r="C338" t="s">
        <v>902</v>
      </c>
      <c r="D338" t="s">
        <v>834</v>
      </c>
      <c r="E338" s="30">
        <v>0</v>
      </c>
      <c r="F338" t="s">
        <v>842</v>
      </c>
      <c r="I338" t="str">
        <f>+_xlfn.XLOOKUP(B338,ajus!$B$2:$B$420,ajus!$C$2:$C$420)</f>
        <v xml:space="preserve">PUENTE ZACARIAS - AUT   [5311700154; VDC; HID; LG; N; AO09; H9; GCAICEDO; 55-5; IPWD; R24; FNCM]  </v>
      </c>
    </row>
    <row r="339" spans="2:9" hidden="1" x14ac:dyDescent="0.25">
      <c r="B339">
        <v>405</v>
      </c>
      <c r="C339" t="s">
        <v>717</v>
      </c>
      <c r="D339" t="s">
        <v>834</v>
      </c>
      <c r="E339" s="30">
        <v>0</v>
      </c>
      <c r="F339" t="s">
        <v>842</v>
      </c>
      <c r="I339" t="str">
        <f>+_xlfn.XLOOKUP(B339,ajus!$B$2:$B$420,ajus!$C$2:$C$420)</f>
        <v>CAUCA ALTO - AUT   [2602700148; CAU; HID; LG; N; AO09; H5; DROJAS; 50-10; IPWD; R24; FNCM; ; ]</v>
      </c>
    </row>
    <row r="340" spans="2:9" hidden="1" x14ac:dyDescent="0.25">
      <c r="B340">
        <v>406</v>
      </c>
      <c r="C340" t="s">
        <v>718</v>
      </c>
      <c r="D340" t="s">
        <v>834</v>
      </c>
      <c r="E340" s="30">
        <v>0</v>
      </c>
      <c r="F340" t="s">
        <v>842</v>
      </c>
      <c r="G340" t="s">
        <v>832</v>
      </c>
      <c r="I340" t="str">
        <f>+_xlfn.XLOOKUP(B340,ajus!$B$2:$B$420,ajus!$C$2:$C$420)</f>
        <v>RIO FRIO - AUT   [2611700158;HID;AO09 ]</v>
      </c>
    </row>
    <row r="341" spans="2:9" hidden="1" x14ac:dyDescent="0.25">
      <c r="B341">
        <v>408</v>
      </c>
      <c r="C341" t="s">
        <v>719</v>
      </c>
      <c r="D341" t="s">
        <v>834</v>
      </c>
      <c r="E341" s="30">
        <v>0</v>
      </c>
      <c r="F341" t="s">
        <v>829</v>
      </c>
      <c r="G341" t="s">
        <v>832</v>
      </c>
      <c r="I341" t="str">
        <f>+_xlfn.XLOOKUP(B341,ajus!$B$2:$B$420,ajus!$C$2:$C$420)</f>
        <v>MONOPAMBA  - AUT [47017110; AO07; FONDO ADAPTACION]</v>
      </c>
    </row>
    <row r="342" spans="2:9" hidden="1" x14ac:dyDescent="0.25">
      <c r="B342">
        <v>409</v>
      </c>
      <c r="C342" t="s">
        <v>720</v>
      </c>
      <c r="D342" t="s">
        <v>834</v>
      </c>
      <c r="E342" s="30">
        <v>0</v>
      </c>
      <c r="F342" t="s">
        <v>842</v>
      </c>
      <c r="I342" t="str">
        <f>+_xlfn.XLOOKUP(B342,ajus!$B$2:$B$420,ajus!$C$2:$C$420)</f>
        <v>REMOLINO - AUT   [2603700157; CAU; HID; LG; N; AO09; H6; DOSPINA; 50-5; IPWD; R24; FNCM; ; ]</v>
      </c>
    </row>
    <row r="343" spans="2:9" hidden="1" x14ac:dyDescent="0.25">
      <c r="B343">
        <v>410</v>
      </c>
      <c r="C343" t="s">
        <v>721</v>
      </c>
      <c r="D343" t="s">
        <v>828</v>
      </c>
      <c r="E343" s="30">
        <v>0</v>
      </c>
      <c r="F343" t="s">
        <v>846</v>
      </c>
      <c r="G343" t="s">
        <v>832</v>
      </c>
      <c r="I343" t="str">
        <f>+_xlfn.XLOOKUP(B343,ajus!$B$2:$B$420,ajus!$C$2:$C$420)</f>
        <v>UNIVERSIDAD DE LA SABANA [2120500135; AO11; FONDO ADAPTACION]</v>
      </c>
    </row>
    <row r="344" spans="2:9" hidden="1" x14ac:dyDescent="0.25">
      <c r="B344">
        <v>411</v>
      </c>
      <c r="C344" t="s">
        <v>722</v>
      </c>
      <c r="D344" t="s">
        <v>828</v>
      </c>
      <c r="E344" s="30">
        <v>0</v>
      </c>
      <c r="F344" t="s">
        <v>837</v>
      </c>
      <c r="G344" t="s">
        <v>832</v>
      </c>
      <c r="I344" t="str">
        <f>+_xlfn.XLOOKUP(B344,ajus!$B$2:$B$420,ajus!$C$2:$C$420)</f>
        <v>EL JARDIN CUENCA ALTA RIO RISARALDA - AUT[2614500116;AO 01;FONDO ADAPTACION]</v>
      </c>
    </row>
    <row r="345" spans="2:9" hidden="1" x14ac:dyDescent="0.25">
      <c r="B345">
        <v>412</v>
      </c>
      <c r="C345" t="s">
        <v>723</v>
      </c>
      <c r="D345" t="s">
        <v>828</v>
      </c>
      <c r="E345" s="30">
        <v>0</v>
      </c>
      <c r="F345" t="s">
        <v>842</v>
      </c>
      <c r="G345" t="s">
        <v>830</v>
      </c>
      <c r="I345" t="str">
        <f>+_xlfn.XLOOKUP(B345,ajus!$B$2:$B$420,ajus!$C$2:$C$420)</f>
        <v>POTREROS - AUT   [2613500126; AO 09; MET; GPRS; FONDO ADAPTACION]</v>
      </c>
    </row>
    <row r="346" spans="2:9" hidden="1" x14ac:dyDescent="0.25">
      <c r="B346">
        <v>413</v>
      </c>
      <c r="C346" t="s">
        <v>724</v>
      </c>
      <c r="D346" t="s">
        <v>828</v>
      </c>
      <c r="E346" s="30">
        <v>0</v>
      </c>
      <c r="F346" t="s">
        <v>842</v>
      </c>
      <c r="G346" t="s">
        <v>832</v>
      </c>
      <c r="I346" t="str">
        <f>+_xlfn.XLOOKUP(B346,ajus!$B$2:$B$420,ajus!$C$2:$C$420)</f>
        <v>CRQ ARMENIA - AUT [2612500038; AO 09; MET; GPRS; FONDO ADAPTACION]</v>
      </c>
    </row>
    <row r="347" spans="2:9" hidden="1" x14ac:dyDescent="0.25">
      <c r="B347">
        <v>414</v>
      </c>
      <c r="C347" t="s">
        <v>725</v>
      </c>
      <c r="D347" t="s">
        <v>834</v>
      </c>
      <c r="E347" s="30">
        <v>0</v>
      </c>
      <c r="F347" t="s">
        <v>836</v>
      </c>
      <c r="G347" t="s">
        <v>830</v>
      </c>
      <c r="I347" t="str">
        <f>+_xlfn.XLOOKUP(B347,ajus!$B$2:$B$420,ajus!$C$2:$C$420)</f>
        <v>VEGA EL SALADO  - AUT [21057050; AO 04; HID; GPRS; FONDO ADAPTACION]</v>
      </c>
    </row>
    <row r="348" spans="2:9" hidden="1" x14ac:dyDescent="0.25">
      <c r="B348">
        <v>415</v>
      </c>
      <c r="C348" t="s">
        <v>726</v>
      </c>
      <c r="D348" t="s">
        <v>828</v>
      </c>
      <c r="E348" s="30">
        <v>0</v>
      </c>
      <c r="F348" t="s">
        <v>842</v>
      </c>
      <c r="I348" t="str">
        <f>+_xlfn.XLOOKUP(B348,ajus!$B$2:$B$420,ajus!$C$2:$C$420)</f>
        <v>PUEBLO RICO  - AUT [54015010; RIS; MET; INMARSAT; AO09; FONDO ADAPTACION]</v>
      </c>
    </row>
    <row r="349" spans="2:9" hidden="1" x14ac:dyDescent="0.25">
      <c r="B349">
        <v>416</v>
      </c>
      <c r="C349" t="s">
        <v>727</v>
      </c>
      <c r="D349" t="s">
        <v>828</v>
      </c>
      <c r="E349" s="30">
        <v>0</v>
      </c>
      <c r="F349" t="s">
        <v>842</v>
      </c>
      <c r="I349" t="str">
        <f>+_xlfn.XLOOKUP(B349,ajus!$B$2:$B$420,ajus!$C$2:$C$420)</f>
        <v>TORIBIO ALERTAS   TORIBIO - AUT   [2604500134; CAU; MET; INMARSAT; AO09; FONDO ADAPTACION]</v>
      </c>
    </row>
    <row r="350" spans="2:9" hidden="1" x14ac:dyDescent="0.25">
      <c r="B350">
        <v>417</v>
      </c>
      <c r="C350" t="s">
        <v>728</v>
      </c>
      <c r="D350" t="s">
        <v>834</v>
      </c>
      <c r="E350" s="30">
        <v>0</v>
      </c>
      <c r="F350" t="s">
        <v>836</v>
      </c>
      <c r="I350" t="str">
        <f>+_xlfn.XLOOKUP(B350,ajus!$B$2:$B$420,ajus!$C$2:$C$420)</f>
        <v>PUENTE CARRETERA  - AUT [21137030; HUI; HID; INMARSAT; AO04; FONDO ADAPTACION]</v>
      </c>
    </row>
    <row r="351" spans="2:9" hidden="1" x14ac:dyDescent="0.25">
      <c r="B351">
        <v>418</v>
      </c>
      <c r="C351" t="s">
        <v>729</v>
      </c>
      <c r="D351" t="s">
        <v>834</v>
      </c>
      <c r="E351" s="30">
        <v>0</v>
      </c>
      <c r="F351" t="s">
        <v>842</v>
      </c>
      <c r="G351" t="s">
        <v>832</v>
      </c>
      <c r="I351" t="str">
        <f>+_xlfn.XLOOKUP(B351,ajus!$B$2:$B$420,ajus!$C$2:$C$420)</f>
        <v>GUACHAL PALMASECA - AUT   [2633500119; AO 09; HID; GPRS; FONDO ADAPTACION]</v>
      </c>
    </row>
    <row r="352" spans="2:9" hidden="1" x14ac:dyDescent="0.25">
      <c r="B352">
        <v>419</v>
      </c>
      <c r="C352" t="s">
        <v>730</v>
      </c>
      <c r="D352" t="s">
        <v>834</v>
      </c>
      <c r="E352" s="30">
        <v>0</v>
      </c>
      <c r="F352" t="s">
        <v>842</v>
      </c>
      <c r="G352" t="s">
        <v>832</v>
      </c>
      <c r="I352" t="str">
        <f>+_xlfn.XLOOKUP(B352,ajus!$B$2:$B$420,ajus!$C$2:$C$420)</f>
        <v>HACIENDA LA GRACIOSA - AUT   [2636700098; AO 09; HID; GPRS; FONDO ADAPTACION]</v>
      </c>
    </row>
    <row r="353" spans="2:9" hidden="1" x14ac:dyDescent="0.25">
      <c r="B353">
        <v>420</v>
      </c>
      <c r="C353" t="s">
        <v>731</v>
      </c>
      <c r="D353" t="s">
        <v>828</v>
      </c>
      <c r="E353" s="30">
        <v>0</v>
      </c>
      <c r="F353" t="s">
        <v>842</v>
      </c>
      <c r="G353" t="s">
        <v>832</v>
      </c>
      <c r="I353" t="str">
        <f>+_xlfn.XLOOKUP(B353,ajus!$B$2:$B$420,ajus!$C$2:$C$420)</f>
        <v>SALENTO - AUT   [2612500130; AO 09; MET; GPRS; FONDO ADAPTACION]</v>
      </c>
    </row>
    <row r="354" spans="2:9" hidden="1" x14ac:dyDescent="0.25">
      <c r="B354">
        <v>421</v>
      </c>
      <c r="C354" t="s">
        <v>732</v>
      </c>
      <c r="D354" t="s">
        <v>828</v>
      </c>
      <c r="E354" s="30">
        <v>0</v>
      </c>
      <c r="F354" t="s">
        <v>842</v>
      </c>
      <c r="G354" t="s">
        <v>830</v>
      </c>
      <c r="I354" t="str">
        <f>+_xlfn.XLOOKUP(B354,ajus!$B$2:$B$420,ajus!$C$2:$C$420)</f>
        <v>PIJAO - AUT   [2612500124;AO 09; MET; GPRS; FONDO ADAPTACION]</v>
      </c>
    </row>
    <row r="355" spans="2:9" hidden="1" x14ac:dyDescent="0.25">
      <c r="B355">
        <v>422</v>
      </c>
      <c r="C355" t="s">
        <v>733</v>
      </c>
      <c r="D355" t="s">
        <v>834</v>
      </c>
      <c r="E355" s="30">
        <v>0</v>
      </c>
      <c r="F355" t="s">
        <v>829</v>
      </c>
      <c r="G355" t="s">
        <v>838</v>
      </c>
      <c r="I355" t="str">
        <f>+_xlfn.XLOOKUP(B355,ajus!$B$2:$B$420,ajus!$C$2:$C$420)</f>
        <v>PICUDO EL [47017170; AO 07;FONDO ADAPTACION]</v>
      </c>
    </row>
    <row r="356" spans="2:9" hidden="1" x14ac:dyDescent="0.25">
      <c r="B356">
        <v>423</v>
      </c>
      <c r="C356" t="s">
        <v>734</v>
      </c>
      <c r="D356" t="s">
        <v>828</v>
      </c>
      <c r="E356" s="30">
        <v>0</v>
      </c>
      <c r="F356" t="s">
        <v>847</v>
      </c>
      <c r="I356" t="str">
        <f>+_xlfn.XLOOKUP(B356,ajus!$B$2:$B$420,ajus!$C$2:$C$420)</f>
        <v>GUACHACA - AUT   [1509500118; MAG; MET; CP; N; AO05; H10; JSOLANO; 55-5; IPWD; R24;  RELE]</v>
      </c>
    </row>
    <row r="357" spans="2:9" hidden="1" x14ac:dyDescent="0.25">
      <c r="B357">
        <v>424</v>
      </c>
      <c r="C357" t="s">
        <v>735</v>
      </c>
      <c r="D357" t="s">
        <v>828</v>
      </c>
      <c r="E357" s="30">
        <v>0</v>
      </c>
      <c r="F357" t="s">
        <v>842</v>
      </c>
      <c r="G357" t="s">
        <v>832</v>
      </c>
      <c r="I357" t="str">
        <f>+_xlfn.XLOOKUP(B357,ajus!$B$2:$B$420,ajus!$C$2:$C$420)</f>
        <v>LA CUMBRE - AUT   [5311500121; AO 09; MET; GPRS; FONDO ADAPTACION]</v>
      </c>
    </row>
    <row r="358" spans="2:9" hidden="1" x14ac:dyDescent="0.25">
      <c r="B358">
        <v>425</v>
      </c>
      <c r="C358" t="s">
        <v>903</v>
      </c>
      <c r="D358" t="s">
        <v>828</v>
      </c>
      <c r="E358" s="30">
        <v>0</v>
      </c>
      <c r="F358" t="s">
        <v>846</v>
      </c>
      <c r="G358" t="s">
        <v>830</v>
      </c>
      <c r="I358" t="e">
        <f>+_xlfn.XLOOKUP(B358,ajus!$B$2:$B$420,ajus!$C$2:$C$420)</f>
        <v>#N/A</v>
      </c>
    </row>
    <row r="359" spans="2:9" hidden="1" x14ac:dyDescent="0.25">
      <c r="B359">
        <v>427</v>
      </c>
      <c r="C359" t="s">
        <v>904</v>
      </c>
      <c r="D359" t="s">
        <v>828</v>
      </c>
      <c r="E359" s="30">
        <v>0</v>
      </c>
      <c r="F359" t="s">
        <v>849</v>
      </c>
      <c r="G359" t="s">
        <v>830</v>
      </c>
      <c r="I359" t="e">
        <f>+_xlfn.XLOOKUP(B359,ajus!$B$2:$B$420,ajus!$C$2:$C$420)</f>
        <v>#N/A</v>
      </c>
    </row>
    <row r="360" spans="2:9" hidden="1" x14ac:dyDescent="0.25">
      <c r="B360">
        <v>428</v>
      </c>
      <c r="C360" t="s">
        <v>736</v>
      </c>
      <c r="D360" t="s">
        <v>834</v>
      </c>
      <c r="E360" s="30">
        <v>0</v>
      </c>
      <c r="F360" t="s">
        <v>849</v>
      </c>
      <c r="I360" t="str">
        <f>+_xlfn.XLOOKUP(B360,ajus!$B$2:$B$420,ajus!$C$2:$C$420)</f>
        <v>LA MURALLA - AUT [22057060; AO10; PROCESO DE SUSPENSIÓN]</v>
      </c>
    </row>
    <row r="361" spans="2:9" hidden="1" x14ac:dyDescent="0.25">
      <c r="B361">
        <v>429</v>
      </c>
      <c r="C361" t="s">
        <v>737</v>
      </c>
      <c r="D361" t="s">
        <v>834</v>
      </c>
      <c r="E361" s="30">
        <v>0</v>
      </c>
      <c r="F361" t="s">
        <v>849</v>
      </c>
      <c r="G361" t="s">
        <v>882</v>
      </c>
      <c r="I361" t="str">
        <f>+_xlfn.XLOOKUP(B361,ajus!$B$2:$B$420,ajus!$C$2:$C$420)</f>
        <v>LA NUEVA - AUT [21257100; AO 10; HID; GPRS; FONDO ADAPTACION]</v>
      </c>
    </row>
    <row r="362" spans="2:9" hidden="1" x14ac:dyDescent="0.25">
      <c r="B362">
        <v>431</v>
      </c>
      <c r="C362" t="s">
        <v>738</v>
      </c>
      <c r="D362" t="s">
        <v>828</v>
      </c>
      <c r="E362" s="30">
        <v>0</v>
      </c>
      <c r="F362" t="s">
        <v>849</v>
      </c>
      <c r="I362" t="str">
        <f>+_xlfn.XLOOKUP(B362,ajus!$B$2:$B$420,ajus!$C$2:$C$420)</f>
        <v>EL SILENCIO - AUT   [2121500042; TOL; MET; INMARSAT; AO10; FONDO ADAPTACION]</v>
      </c>
    </row>
    <row r="363" spans="2:9" hidden="1" x14ac:dyDescent="0.25">
      <c r="B363">
        <v>432</v>
      </c>
      <c r="C363" t="s">
        <v>739</v>
      </c>
      <c r="D363" t="s">
        <v>834</v>
      </c>
      <c r="E363" s="30">
        <v>0</v>
      </c>
      <c r="F363" t="s">
        <v>849</v>
      </c>
      <c r="I363" t="str">
        <f>+_xlfn.XLOOKUP(B363,ajus!$B$2:$B$420,ajus!$C$2:$C$420)</f>
        <v>CUCUNUBA  - AUT [21187030; TOL; HID; INMARSAT; AO10; FONDO ADAPTACION]</v>
      </c>
    </row>
    <row r="364" spans="2:9" hidden="1" x14ac:dyDescent="0.25">
      <c r="B364">
        <v>433</v>
      </c>
      <c r="C364" t="s">
        <v>740</v>
      </c>
      <c r="D364" t="s">
        <v>834</v>
      </c>
      <c r="E364" s="30">
        <v>0</v>
      </c>
      <c r="F364" t="s">
        <v>849</v>
      </c>
      <c r="G364" t="s">
        <v>830</v>
      </c>
      <c r="I364" t="str">
        <f>+_xlfn.XLOOKUP(B364,ajus!$B$2:$B$420,ajus!$C$2:$C$420)</f>
        <v>GUALÍ ALERTAS - AUT   [2301700089; AO 10; HID; GPRS; FONDO ADAPTACION]</v>
      </c>
    </row>
    <row r="365" spans="2:9" hidden="1" x14ac:dyDescent="0.25">
      <c r="B365">
        <v>434</v>
      </c>
      <c r="C365" t="s">
        <v>741</v>
      </c>
      <c r="D365" t="s">
        <v>834</v>
      </c>
      <c r="E365" s="30">
        <v>0</v>
      </c>
      <c r="F365" t="s">
        <v>836</v>
      </c>
      <c r="I365" t="str">
        <f>+_xlfn.XLOOKUP(B365,ajus!$B$2:$B$420,ajus!$C$2:$C$420)</f>
        <v>CARRASPOSO  - AUT [21147030; HUI; HID; INMARSAT; AO04; FONDO ADAPTACION]</v>
      </c>
    </row>
    <row r="366" spans="2:9" hidden="1" x14ac:dyDescent="0.25">
      <c r="B366">
        <v>436</v>
      </c>
      <c r="C366" t="s">
        <v>905</v>
      </c>
      <c r="D366" t="s">
        <v>834</v>
      </c>
      <c r="E366" s="30">
        <v>0</v>
      </c>
      <c r="F366" t="s">
        <v>849</v>
      </c>
      <c r="I366" t="e">
        <f>+_xlfn.XLOOKUP(B366,ajus!$B$2:$B$420,ajus!$C$2:$C$420)</f>
        <v>#N/A</v>
      </c>
    </row>
    <row r="367" spans="2:9" hidden="1" x14ac:dyDescent="0.25">
      <c r="B367">
        <v>437</v>
      </c>
      <c r="C367" t="s">
        <v>742</v>
      </c>
      <c r="D367" t="s">
        <v>828</v>
      </c>
      <c r="E367" s="30">
        <v>0</v>
      </c>
      <c r="F367" t="s">
        <v>849</v>
      </c>
      <c r="I367" t="str">
        <f>+_xlfn.XLOOKUP(B367,ajus!$B$2:$B$420,ajus!$C$2:$C$420)</f>
        <v>PLANADAS - AUT   [2202500051; TOL; MET; INMARSAT; AO10; FONDO ADAPTACION]</v>
      </c>
    </row>
    <row r="368" spans="2:9" hidden="1" x14ac:dyDescent="0.25">
      <c r="B368">
        <v>438</v>
      </c>
      <c r="C368" t="s">
        <v>906</v>
      </c>
      <c r="D368" t="s">
        <v>828</v>
      </c>
      <c r="E368" s="30">
        <v>0</v>
      </c>
      <c r="F368" t="s">
        <v>849</v>
      </c>
      <c r="I368" t="e">
        <f>+_xlfn.XLOOKUP(B368,ajus!$B$2:$B$420,ajus!$C$2:$C$420)</f>
        <v>#N/A</v>
      </c>
    </row>
    <row r="369" spans="2:9" hidden="1" x14ac:dyDescent="0.25">
      <c r="B369">
        <v>439</v>
      </c>
      <c r="C369" t="s">
        <v>743</v>
      </c>
      <c r="D369" t="s">
        <v>834</v>
      </c>
      <c r="E369" s="30">
        <v>0</v>
      </c>
      <c r="F369" t="s">
        <v>831</v>
      </c>
      <c r="G369" t="s">
        <v>830</v>
      </c>
      <c r="I369" t="str">
        <f>+_xlfn.XLOOKUP(B369,ajus!$B$2:$B$420,ajus!$C$2:$C$420)</f>
        <v>LA CEIBA - AUT [24017640; AO 08; HID; GPRS; FONDO ADAPTACION]</v>
      </c>
    </row>
    <row r="370" spans="2:9" hidden="1" x14ac:dyDescent="0.25">
      <c r="B370">
        <v>440</v>
      </c>
      <c r="C370" t="s">
        <v>744</v>
      </c>
      <c r="D370" t="s">
        <v>834</v>
      </c>
      <c r="E370" s="30">
        <v>0</v>
      </c>
      <c r="F370" t="s">
        <v>849</v>
      </c>
      <c r="I370" t="str">
        <f>+_xlfn.XLOOKUP(B370,ajus!$B$2:$B$420,ajus!$C$2:$C$420)</f>
        <v>RECIO 1 - AUT   [2125700094;TOL;HID;LG;N;AO10;H8; DOSPINA; 0; IPWD; R24;FNCM; ; ]</v>
      </c>
    </row>
    <row r="371" spans="2:9" hidden="1" x14ac:dyDescent="0.25">
      <c r="B371">
        <v>441</v>
      </c>
      <c r="C371" t="s">
        <v>907</v>
      </c>
      <c r="D371" t="s">
        <v>828</v>
      </c>
      <c r="E371" s="30">
        <v>0</v>
      </c>
      <c r="F371" t="s">
        <v>849</v>
      </c>
      <c r="I371" t="e">
        <f>+_xlfn.XLOOKUP(B371,ajus!$B$2:$B$420,ajus!$C$2:$C$420)</f>
        <v>#N/A</v>
      </c>
    </row>
    <row r="372" spans="2:9" hidden="1" x14ac:dyDescent="0.25">
      <c r="B372">
        <v>442</v>
      </c>
      <c r="C372" t="s">
        <v>745</v>
      </c>
      <c r="D372" t="s">
        <v>828</v>
      </c>
      <c r="E372" s="30">
        <v>0</v>
      </c>
      <c r="F372" t="s">
        <v>849</v>
      </c>
      <c r="G372" t="s">
        <v>830</v>
      </c>
      <c r="I372" t="str">
        <f>+_xlfn.XLOOKUP(B372,ajus!$B$2:$B$420,ajus!$C$2:$C$420)</f>
        <v>SAN JOSE DE PENSILVANIA - AUT   [2305500055; AO 10; MET; GPRS; FONDO ADAPTACION ]</v>
      </c>
    </row>
    <row r="373" spans="2:9" hidden="1" x14ac:dyDescent="0.25">
      <c r="B373">
        <v>444</v>
      </c>
      <c r="C373" t="s">
        <v>746</v>
      </c>
      <c r="D373" t="s">
        <v>834</v>
      </c>
      <c r="E373" s="30">
        <v>0</v>
      </c>
      <c r="F373" t="s">
        <v>849</v>
      </c>
      <c r="I373" t="str">
        <f>+_xlfn.XLOOKUP(B373,ajus!$B$2:$B$420,ajus!$C$2:$C$420)</f>
        <v>PUERTO BELLO  - AUT [23087230; ANT; HID; INMARSAT; AO10; FONDO ADAPTACION]</v>
      </c>
    </row>
    <row r="374" spans="2:9" hidden="1" x14ac:dyDescent="0.25">
      <c r="B374">
        <v>445</v>
      </c>
      <c r="C374" t="s">
        <v>908</v>
      </c>
      <c r="D374" t="s">
        <v>828</v>
      </c>
      <c r="E374" s="30">
        <v>0</v>
      </c>
      <c r="F374" t="s">
        <v>846</v>
      </c>
      <c r="G374" t="s">
        <v>832</v>
      </c>
      <c r="I374" t="e">
        <f>+_xlfn.XLOOKUP(B374,ajus!$B$2:$B$420,ajus!$C$2:$C$420)</f>
        <v>#N/A</v>
      </c>
    </row>
    <row r="375" spans="2:9" hidden="1" x14ac:dyDescent="0.25">
      <c r="B375">
        <v>446</v>
      </c>
      <c r="C375" t="s">
        <v>747</v>
      </c>
      <c r="D375" t="s">
        <v>828</v>
      </c>
      <c r="E375" s="30">
        <v>0</v>
      </c>
      <c r="F375" t="s">
        <v>846</v>
      </c>
      <c r="G375" t="s">
        <v>832</v>
      </c>
      <c r="I375" t="str">
        <f>+_xlfn.XLOOKUP(B375,ajus!$B$2:$B$420,ajus!$C$2:$C$420)</f>
        <v>CARMEN DE CARUPA [24015380; AO11; FONDO ADAPTACION]</v>
      </c>
    </row>
    <row r="376" spans="2:9" hidden="1" x14ac:dyDescent="0.25">
      <c r="B376">
        <v>447</v>
      </c>
      <c r="C376" t="s">
        <v>748</v>
      </c>
      <c r="D376" t="s">
        <v>828</v>
      </c>
      <c r="E376" s="30">
        <v>0</v>
      </c>
      <c r="F376" t="s">
        <v>846</v>
      </c>
      <c r="I376" t="str">
        <f>+_xlfn.XLOOKUP(B376,ajus!$B$2:$B$420,ajus!$C$2:$C$420)</f>
        <v>PARAMO ALTO [2120500050; AO11; FONDO ADAPTACION]</v>
      </c>
    </row>
    <row r="377" spans="2:9" hidden="1" x14ac:dyDescent="0.25">
      <c r="B377">
        <v>448</v>
      </c>
      <c r="C377" t="s">
        <v>749</v>
      </c>
      <c r="D377" t="s">
        <v>834</v>
      </c>
      <c r="E377" s="30">
        <v>0</v>
      </c>
      <c r="F377" t="s">
        <v>846</v>
      </c>
      <c r="G377" t="s">
        <v>832</v>
      </c>
      <c r="I377" t="str">
        <f>+_xlfn.XLOOKUP(B377,ajus!$B$2:$B$420,ajus!$C$2:$C$420)</f>
        <v>VILLETA [23067070; AO 11; FONDO ADAPTACION]</v>
      </c>
    </row>
    <row r="378" spans="2:9" hidden="1" x14ac:dyDescent="0.25">
      <c r="B378">
        <v>449</v>
      </c>
      <c r="C378" t="s">
        <v>750</v>
      </c>
      <c r="D378" t="s">
        <v>834</v>
      </c>
      <c r="E378" s="30">
        <v>0</v>
      </c>
      <c r="F378" t="s">
        <v>846</v>
      </c>
      <c r="G378" t="s">
        <v>832</v>
      </c>
      <c r="I378" t="str">
        <f>+_xlfn.XLOOKUP(B378,ajus!$B$2:$B$420,ajus!$C$2:$C$420)</f>
        <v>UNIVERSIDAD DE LA SABANA [2120700146; AO11; FONDO ADAPTACIÓN]</v>
      </c>
    </row>
    <row r="379" spans="2:9" hidden="1" x14ac:dyDescent="0.25">
      <c r="B379">
        <v>451</v>
      </c>
      <c r="C379" t="s">
        <v>751</v>
      </c>
      <c r="D379" t="s">
        <v>834</v>
      </c>
      <c r="E379" s="30">
        <v>0</v>
      </c>
      <c r="F379" t="s">
        <v>846</v>
      </c>
      <c r="I379" t="str">
        <f>+_xlfn.XLOOKUP(B379,ajus!$B$2:$B$420,ajus!$C$2:$C$420)</f>
        <v>SAN JOAQUIN [2120700162;  AO11; FONDO DE ADAPTACIÓN]</v>
      </c>
    </row>
    <row r="380" spans="2:9" hidden="1" x14ac:dyDescent="0.25">
      <c r="B380">
        <v>452</v>
      </c>
      <c r="C380" t="s">
        <v>909</v>
      </c>
      <c r="D380" t="s">
        <v>834</v>
      </c>
      <c r="E380" s="30">
        <v>0</v>
      </c>
      <c r="F380" t="s">
        <v>846</v>
      </c>
      <c r="I380" t="e">
        <f>+_xlfn.XLOOKUP(B380,ajus!$B$2:$B$420,ajus!$C$2:$C$420)</f>
        <v>#N/A</v>
      </c>
    </row>
    <row r="381" spans="2:9" hidden="1" x14ac:dyDescent="0.25">
      <c r="B381">
        <v>453</v>
      </c>
      <c r="C381" t="s">
        <v>752</v>
      </c>
      <c r="D381" t="s">
        <v>828</v>
      </c>
      <c r="E381" s="30">
        <v>0</v>
      </c>
      <c r="F381" t="s">
        <v>846</v>
      </c>
      <c r="I381" t="str">
        <f>+_xlfn.XLOOKUP(B381,ajus!$B$2:$B$420,ajus!$C$2:$C$420)</f>
        <v>ALTO DEL TRIGO -   [2306500106; AO11; FONDO ADAPTACION]</v>
      </c>
    </row>
    <row r="382" spans="2:9" hidden="1" x14ac:dyDescent="0.25">
      <c r="B382">
        <v>454</v>
      </c>
      <c r="C382" t="s">
        <v>753</v>
      </c>
      <c r="D382" t="s">
        <v>828</v>
      </c>
      <c r="E382" s="30">
        <v>0</v>
      </c>
      <c r="F382" t="s">
        <v>846</v>
      </c>
      <c r="G382" t="s">
        <v>832</v>
      </c>
      <c r="I382" t="str">
        <f>+_xlfn.XLOOKUP(B382,ajus!$B$2:$B$420,ajus!$C$2:$C$420)</f>
        <v>YACOPI [23065110;  AO11; FONDO ADAPTACION]</v>
      </c>
    </row>
    <row r="383" spans="2:9" hidden="1" x14ac:dyDescent="0.25">
      <c r="B383">
        <v>455</v>
      </c>
      <c r="C383" t="s">
        <v>754</v>
      </c>
      <c r="D383" t="s">
        <v>834</v>
      </c>
      <c r="E383" s="30">
        <v>0</v>
      </c>
      <c r="F383" t="s">
        <v>849</v>
      </c>
      <c r="I383" t="str">
        <f>+_xlfn.XLOOKUP(B383,ajus!$B$2:$B$420,ajus!$C$2:$C$420)</f>
        <v>PIJAITO  - AUT [22077050; TOL; HID; INMARSAT; AO10; FONDO ADAPTACION]</v>
      </c>
    </row>
    <row r="384" spans="2:9" hidden="1" x14ac:dyDescent="0.25">
      <c r="B384">
        <v>456</v>
      </c>
      <c r="C384" t="s">
        <v>755</v>
      </c>
      <c r="D384" t="s">
        <v>834</v>
      </c>
      <c r="E384" s="30">
        <v>0</v>
      </c>
      <c r="F384" t="s">
        <v>846</v>
      </c>
      <c r="G384" t="s">
        <v>830</v>
      </c>
      <c r="I384" t="str">
        <f>+_xlfn.XLOOKUP(B384,ajus!$B$2:$B$420,ajus!$C$2:$C$420)</f>
        <v>CARAZA [35027100; AO 11; FONDO ADAPTACION]</v>
      </c>
    </row>
    <row r="385" spans="2:9" hidden="1" x14ac:dyDescent="0.25">
      <c r="B385">
        <v>457</v>
      </c>
      <c r="C385" t="s">
        <v>756</v>
      </c>
      <c r="D385" t="s">
        <v>834</v>
      </c>
      <c r="E385" s="30">
        <v>0</v>
      </c>
      <c r="F385" t="s">
        <v>829</v>
      </c>
      <c r="G385" t="s">
        <v>838</v>
      </c>
      <c r="I385" t="str">
        <f>+_xlfn.XLOOKUP(B385,ajus!$B$2:$B$420,ajus!$C$2:$C$420)</f>
        <v>SAN PEDRO  - AUT [52057050; NAR; HID; GOES: CB1EB580; AO07; FONDO ADAPTACION]</v>
      </c>
    </row>
    <row r="386" spans="2:9" hidden="1" x14ac:dyDescent="0.25">
      <c r="B386">
        <v>458</v>
      </c>
      <c r="C386" t="s">
        <v>757</v>
      </c>
      <c r="D386" t="s">
        <v>834</v>
      </c>
      <c r="E386" s="30">
        <v>0</v>
      </c>
      <c r="F386" t="s">
        <v>837</v>
      </c>
      <c r="G386" t="s">
        <v>832</v>
      </c>
      <c r="I386" t="str">
        <f>+_xlfn.XLOOKUP(B386,ajus!$B$2:$B$420,ajus!$C$2:$C$420)</f>
        <v>QUITASUEÑO [26187040;AO 01;FONDO ADAPTACION]</v>
      </c>
    </row>
    <row r="387" spans="2:9" hidden="1" x14ac:dyDescent="0.25">
      <c r="B387">
        <v>459</v>
      </c>
      <c r="C387" t="s">
        <v>758</v>
      </c>
      <c r="D387" t="s">
        <v>834</v>
      </c>
      <c r="E387" s="30">
        <v>0</v>
      </c>
      <c r="F387" t="s">
        <v>844</v>
      </c>
      <c r="G387" t="s">
        <v>832</v>
      </c>
      <c r="I387" t="str">
        <f>+_xlfn.XLOOKUP(B387,ajus!$B$2:$B$420,ajus!$C$2:$C$420)</f>
        <v>REMOLINO - MAG - AUT   [2904700095; AO 02; FONDO ADAPTACION]</v>
      </c>
    </row>
    <row r="388" spans="2:9" hidden="1" x14ac:dyDescent="0.25">
      <c r="B388">
        <v>460</v>
      </c>
      <c r="C388" t="s">
        <v>759</v>
      </c>
      <c r="D388" t="s">
        <v>834</v>
      </c>
      <c r="E388" s="30">
        <v>0</v>
      </c>
      <c r="F388" t="s">
        <v>846</v>
      </c>
      <c r="G388" t="s">
        <v>830</v>
      </c>
      <c r="I388" t="str">
        <f>+_xlfn.XLOOKUP(B388,ajus!$B$2:$B$420,ajus!$C$2:$C$420)</f>
        <v>TOBIA [23067060; AO 11; FONDO ADAPTACION]</v>
      </c>
    </row>
    <row r="389" spans="2:9" hidden="1" x14ac:dyDescent="0.25">
      <c r="B389">
        <v>461</v>
      </c>
      <c r="C389" t="s">
        <v>760</v>
      </c>
      <c r="D389" t="s">
        <v>834</v>
      </c>
      <c r="E389" s="30">
        <v>0</v>
      </c>
      <c r="F389" t="s">
        <v>831</v>
      </c>
      <c r="G389" t="s">
        <v>830</v>
      </c>
      <c r="I389" t="str">
        <f>+_xlfn.XLOOKUP(B389,ajus!$B$2:$B$420,ajus!$C$2:$C$420)</f>
        <v>GAMARRA - AUT [23217080; AO 08; HID; GPRS; FONDO ADAPTACION]</v>
      </c>
    </row>
    <row r="390" spans="2:9" hidden="1" x14ac:dyDescent="0.25">
      <c r="B390">
        <v>462</v>
      </c>
      <c r="C390" t="s">
        <v>761</v>
      </c>
      <c r="D390" t="s">
        <v>834</v>
      </c>
      <c r="E390" s="30">
        <v>0</v>
      </c>
      <c r="F390" t="s">
        <v>837</v>
      </c>
      <c r="G390" t="s">
        <v>832</v>
      </c>
      <c r="I390" t="str">
        <f>+_xlfn.XLOOKUP(B390,ajus!$B$2:$B$420,ajus!$C$2:$C$420)</f>
        <v>BOLOMBOLO [26207080;AO 01;FONDO ADAPTACION]</v>
      </c>
    </row>
    <row r="391" spans="2:9" x14ac:dyDescent="0.25">
      <c r="B391">
        <v>463</v>
      </c>
      <c r="C391" t="s">
        <v>762</v>
      </c>
      <c r="D391" t="s">
        <v>828</v>
      </c>
      <c r="E391" s="30">
        <v>0</v>
      </c>
      <c r="F391" t="s">
        <v>837</v>
      </c>
      <c r="G391" t="s">
        <v>832</v>
      </c>
      <c r="I391" t="str">
        <f>+_xlfn.XLOOKUP(B391,ajus!$B$2:$B$420,ajus!$C$2:$C$420)</f>
        <v>GRANJA EXPERIMENTAL EL NUS [23085080;AO 01;FONDO ADAPTACION]</v>
      </c>
    </row>
    <row r="392" spans="2:9" hidden="1" x14ac:dyDescent="0.25">
      <c r="B392">
        <v>464</v>
      </c>
      <c r="C392" t="s">
        <v>910</v>
      </c>
      <c r="D392" t="s">
        <v>828</v>
      </c>
      <c r="E392" s="30">
        <v>4</v>
      </c>
      <c r="F392" t="s">
        <v>858</v>
      </c>
      <c r="G392" t="s">
        <v>838</v>
      </c>
      <c r="I392" t="e">
        <f>+_xlfn.XLOOKUP(B392,ajus!$B$2:$B$420,ajus!$C$2:$C$420)</f>
        <v>#N/A</v>
      </c>
    </row>
    <row r="393" spans="2:9" hidden="1" x14ac:dyDescent="0.25">
      <c r="B393">
        <v>465</v>
      </c>
      <c r="C393" t="s">
        <v>911</v>
      </c>
      <c r="D393" t="s">
        <v>828</v>
      </c>
      <c r="E393" s="30">
        <v>4</v>
      </c>
      <c r="F393" t="s">
        <v>858</v>
      </c>
      <c r="G393" t="s">
        <v>838</v>
      </c>
      <c r="I393" t="e">
        <f>+_xlfn.XLOOKUP(B393,ajus!$B$2:$B$420,ajus!$C$2:$C$420)</f>
        <v>#N/A</v>
      </c>
    </row>
    <row r="394" spans="2:9" hidden="1" x14ac:dyDescent="0.25">
      <c r="B394">
        <v>984</v>
      </c>
      <c r="C394" t="s">
        <v>912</v>
      </c>
      <c r="D394" t="s">
        <v>834</v>
      </c>
      <c r="E394" s="30">
        <v>12</v>
      </c>
      <c r="F394" t="s">
        <v>844</v>
      </c>
      <c r="I394" t="e">
        <f>+_xlfn.XLOOKUP(B394,ajus!$B$2:$B$420,ajus!$C$2:$C$420)</f>
        <v>#N/A</v>
      </c>
    </row>
    <row r="395" spans="2:9" hidden="1" x14ac:dyDescent="0.25">
      <c r="B395">
        <v>985</v>
      </c>
      <c r="C395" t="s">
        <v>913</v>
      </c>
      <c r="D395" t="s">
        <v>834</v>
      </c>
      <c r="E395" s="30">
        <v>12</v>
      </c>
      <c r="F395" t="s">
        <v>844</v>
      </c>
      <c r="I395" t="e">
        <f>+_xlfn.XLOOKUP(B395,ajus!$B$2:$B$420,ajus!$C$2:$C$420)</f>
        <v>#N/A</v>
      </c>
    </row>
    <row r="396" spans="2:9" hidden="1" x14ac:dyDescent="0.25">
      <c r="B396">
        <v>986</v>
      </c>
      <c r="C396" t="s">
        <v>914</v>
      </c>
      <c r="D396" t="s">
        <v>834</v>
      </c>
      <c r="E396" s="30">
        <v>12</v>
      </c>
      <c r="F396" t="s">
        <v>844</v>
      </c>
      <c r="I396" t="e">
        <f>+_xlfn.XLOOKUP(B396,ajus!$B$2:$B$420,ajus!$C$2:$C$420)</f>
        <v>#N/A</v>
      </c>
    </row>
    <row r="397" spans="2:9" hidden="1" x14ac:dyDescent="0.25">
      <c r="B397">
        <v>987</v>
      </c>
      <c r="C397" t="s">
        <v>915</v>
      </c>
      <c r="D397" t="s">
        <v>834</v>
      </c>
      <c r="E397" s="30">
        <v>12</v>
      </c>
      <c r="F397" t="s">
        <v>844</v>
      </c>
      <c r="I397" t="e">
        <f>+_xlfn.XLOOKUP(B397,ajus!$B$2:$B$420,ajus!$C$2:$C$420)</f>
        <v>#N/A</v>
      </c>
    </row>
    <row r="398" spans="2:9" hidden="1" x14ac:dyDescent="0.25">
      <c r="B398">
        <v>988</v>
      </c>
      <c r="C398" t="s">
        <v>916</v>
      </c>
      <c r="D398" t="s">
        <v>834</v>
      </c>
      <c r="E398" s="30">
        <v>12</v>
      </c>
      <c r="F398" t="s">
        <v>844</v>
      </c>
      <c r="I398" t="e">
        <f>+_xlfn.XLOOKUP(B398,ajus!$B$2:$B$420,ajus!$C$2:$C$420)</f>
        <v>#N/A</v>
      </c>
    </row>
    <row r="399" spans="2:9" hidden="1" x14ac:dyDescent="0.25">
      <c r="B399">
        <v>989</v>
      </c>
      <c r="C399" t="s">
        <v>917</v>
      </c>
      <c r="D399" t="s">
        <v>834</v>
      </c>
      <c r="E399" s="30">
        <v>12</v>
      </c>
      <c r="F399" t="s">
        <v>844</v>
      </c>
      <c r="I399" t="e">
        <f>+_xlfn.XLOOKUP(B399,ajus!$B$2:$B$420,ajus!$C$2:$C$420)</f>
        <v>#N/A</v>
      </c>
    </row>
    <row r="400" spans="2:9" hidden="1" x14ac:dyDescent="0.25">
      <c r="B400">
        <v>990</v>
      </c>
      <c r="C400" t="s">
        <v>918</v>
      </c>
      <c r="D400" t="s">
        <v>834</v>
      </c>
      <c r="E400" s="30">
        <v>12</v>
      </c>
      <c r="F400" t="s">
        <v>844</v>
      </c>
      <c r="G400" t="s">
        <v>852</v>
      </c>
      <c r="I400" t="e">
        <f>+_xlfn.XLOOKUP(B400,ajus!$B$2:$B$420,ajus!$C$2:$C$420)</f>
        <v>#N/A</v>
      </c>
    </row>
    <row r="401" spans="2:9" hidden="1" x14ac:dyDescent="0.25">
      <c r="B401">
        <v>991</v>
      </c>
      <c r="C401" t="s">
        <v>763</v>
      </c>
      <c r="D401" t="s">
        <v>834</v>
      </c>
      <c r="E401" s="30">
        <v>12</v>
      </c>
      <c r="F401" t="s">
        <v>844</v>
      </c>
      <c r="I401" t="str">
        <f>+_xlfn.XLOOKUP(B401,ajus!$B$2:$B$420,ajus!$C$2:$C$420)</f>
        <v>ESCUELA NAVAL CIOH - AUT [14019030; AO02; CANAL DEL DIQUE]</v>
      </c>
    </row>
    <row r="402" spans="2:9" hidden="1" x14ac:dyDescent="0.25">
      <c r="B402">
        <v>992</v>
      </c>
      <c r="C402" t="s">
        <v>764</v>
      </c>
      <c r="D402" t="s">
        <v>834</v>
      </c>
      <c r="E402" s="30">
        <v>12</v>
      </c>
      <c r="F402" t="s">
        <v>844</v>
      </c>
      <c r="G402" t="s">
        <v>852</v>
      </c>
      <c r="I402" t="str">
        <f>+_xlfn.XLOOKUP(B402,ajus!$B$2:$B$420,ajus!$C$2:$C$420)</f>
        <v>GUAJARO EMBALSE AUT [12067001; A0 02; CANAL DEL DIQUE]</v>
      </c>
    </row>
    <row r="403" spans="2:9" hidden="1" x14ac:dyDescent="0.25">
      <c r="B403">
        <v>993</v>
      </c>
      <c r="C403" t="s">
        <v>919</v>
      </c>
      <c r="D403" t="s">
        <v>834</v>
      </c>
      <c r="E403" s="30">
        <v>12</v>
      </c>
      <c r="F403" t="s">
        <v>844</v>
      </c>
      <c r="I403" t="e">
        <f>+_xlfn.XLOOKUP(B403,ajus!$B$2:$B$420,ajus!$C$2:$C$420)</f>
        <v>#N/A</v>
      </c>
    </row>
    <row r="404" spans="2:9" hidden="1" x14ac:dyDescent="0.25">
      <c r="B404">
        <v>994</v>
      </c>
      <c r="C404" t="s">
        <v>765</v>
      </c>
      <c r="D404" t="s">
        <v>834</v>
      </c>
      <c r="E404" s="30">
        <v>12</v>
      </c>
      <c r="F404" t="s">
        <v>844</v>
      </c>
      <c r="I404" t="str">
        <f>+_xlfn.XLOOKUP(B404,ajus!$B$2:$B$420,ajus!$C$2:$C$420)</f>
        <v>LEQUERICA - AUT - AUT [29057002; AO02; CANAL DEL DIQUE]</v>
      </c>
    </row>
    <row r="405" spans="2:9" hidden="1" x14ac:dyDescent="0.25">
      <c r="B405">
        <v>995</v>
      </c>
      <c r="C405" t="s">
        <v>766</v>
      </c>
      <c r="D405" t="s">
        <v>834</v>
      </c>
      <c r="E405" s="30">
        <v>12</v>
      </c>
      <c r="F405" t="s">
        <v>844</v>
      </c>
      <c r="I405" t="str">
        <f>+_xlfn.XLOOKUP(B405,ajus!$B$2:$B$420,ajus!$C$2:$C$420)</f>
        <v>MACHADO  AUT [29057003; AO02; CANAL DEL DIQUE]</v>
      </c>
    </row>
    <row r="406" spans="2:9" hidden="1" x14ac:dyDescent="0.25">
      <c r="B406">
        <v>996</v>
      </c>
      <c r="C406" t="s">
        <v>920</v>
      </c>
      <c r="D406" t="s">
        <v>834</v>
      </c>
      <c r="E406" s="30">
        <v>12</v>
      </c>
      <c r="F406" t="s">
        <v>844</v>
      </c>
      <c r="I406" t="e">
        <f>+_xlfn.XLOOKUP(B406,ajus!$B$2:$B$420,ajus!$C$2:$C$420)</f>
        <v>#N/A</v>
      </c>
    </row>
    <row r="407" spans="2:9" hidden="1" x14ac:dyDescent="0.25">
      <c r="B407">
        <v>997</v>
      </c>
      <c r="C407" t="s">
        <v>767</v>
      </c>
      <c r="D407" t="s">
        <v>834</v>
      </c>
      <c r="E407" s="30">
        <v>12</v>
      </c>
      <c r="F407" t="s">
        <v>844</v>
      </c>
      <c r="I407" t="str">
        <f>+_xlfn.XLOOKUP(B407,ajus!$B$2:$B$420,ajus!$C$2:$C$420)</f>
        <v>SAN CRISTOBAL - AUT [29057001; AO02; CANAL DEL DIQUE]</v>
      </c>
    </row>
    <row r="408" spans="2:9" hidden="1" x14ac:dyDescent="0.25">
      <c r="B408">
        <v>998</v>
      </c>
      <c r="C408" t="s">
        <v>921</v>
      </c>
      <c r="D408" t="s">
        <v>834</v>
      </c>
      <c r="E408" s="30">
        <v>12</v>
      </c>
      <c r="F408" t="s">
        <v>844</v>
      </c>
      <c r="I408" t="e">
        <f>+_xlfn.XLOOKUP(B408,ajus!$B$2:$B$420,ajus!$C$2:$C$420)</f>
        <v>#N/A</v>
      </c>
    </row>
    <row r="409" spans="2:9" hidden="1" x14ac:dyDescent="0.25">
      <c r="B409">
        <v>999</v>
      </c>
      <c r="C409" t="s">
        <v>768</v>
      </c>
      <c r="D409" t="s">
        <v>834</v>
      </c>
      <c r="E409" s="30">
        <v>12</v>
      </c>
      <c r="F409" t="s">
        <v>844</v>
      </c>
      <c r="I409" t="str">
        <f>+_xlfn.XLOOKUP(B409,ajus!$B$2:$B$420,ajus!$C$2:$C$420)</f>
        <v>SANTA HELENA..  - AUT  [29057004; AO02; CANAL DEL DIUE]</v>
      </c>
    </row>
    <row r="410" spans="2:9" hidden="1" x14ac:dyDescent="0.25">
      <c r="B410">
        <v>1100</v>
      </c>
      <c r="C410" t="s">
        <v>769</v>
      </c>
      <c r="D410" t="s">
        <v>828</v>
      </c>
      <c r="E410" s="30">
        <v>4</v>
      </c>
      <c r="F410" t="s">
        <v>858</v>
      </c>
      <c r="G410" t="s">
        <v>838</v>
      </c>
      <c r="I410" t="str">
        <f>+_xlfn.XLOOKUP(B410,ajus!$B$2:$B$420,ajus!$C$2:$C$420)</f>
        <v>CARIMAGUA - AUT [33035010;AO 03;TERRITORIOS VERDES]</v>
      </c>
    </row>
    <row r="411" spans="2:9" hidden="1" x14ac:dyDescent="0.25">
      <c r="B411">
        <v>1101</v>
      </c>
      <c r="C411" t="s">
        <v>770</v>
      </c>
      <c r="D411" t="s">
        <v>834</v>
      </c>
      <c r="E411" s="30">
        <v>1</v>
      </c>
      <c r="F411" t="s">
        <v>839</v>
      </c>
      <c r="I411" t="str">
        <f>+_xlfn.XLOOKUP(B411,ajus!$B$2:$B$420,ajus!$C$2:$C$420)</f>
        <v>CEIBAL EL [35097080;  AO06; HID; GOES IDEAM] SINIESTRO</v>
      </c>
    </row>
    <row r="412" spans="2:9" hidden="1" x14ac:dyDescent="0.25">
      <c r="B412">
        <v>1102</v>
      </c>
      <c r="C412" t="s">
        <v>922</v>
      </c>
      <c r="D412" t="s">
        <v>828</v>
      </c>
      <c r="E412" s="30">
        <v>1</v>
      </c>
      <c r="F412" t="s">
        <v>829</v>
      </c>
      <c r="I412" t="e">
        <f>+_xlfn.XLOOKUP(B412,ajus!$B$2:$B$420,ajus!$C$2:$C$420)</f>
        <v>#N/A</v>
      </c>
    </row>
    <row r="413" spans="2:9" hidden="1" x14ac:dyDescent="0.25">
      <c r="B413">
        <v>1104</v>
      </c>
      <c r="C413" t="s">
        <v>771</v>
      </c>
      <c r="D413" t="s">
        <v>834</v>
      </c>
      <c r="E413" s="30">
        <v>1</v>
      </c>
      <c r="F413" t="s">
        <v>837</v>
      </c>
      <c r="G413" t="s">
        <v>832</v>
      </c>
      <c r="I413" t="str">
        <f>+_xlfn.XLOOKUP(B413,ajus!$B$2:$B$420,ajus!$C$2:$C$420)</f>
        <v>LAS VARAS [25027200;AO 01;IDEAM]</v>
      </c>
    </row>
    <row r="414" spans="2:9" hidden="1" x14ac:dyDescent="0.25">
      <c r="B414">
        <v>1105</v>
      </c>
      <c r="C414" t="s">
        <v>923</v>
      </c>
      <c r="D414" t="s">
        <v>834</v>
      </c>
      <c r="E414" s="30">
        <v>1</v>
      </c>
      <c r="F414" t="s">
        <v>837</v>
      </c>
      <c r="G414" t="s">
        <v>838</v>
      </c>
      <c r="I414" t="e">
        <f>+_xlfn.XLOOKUP(B414,ajus!$B$2:$B$420,ajus!$C$2:$C$420)</f>
        <v>#N/A</v>
      </c>
    </row>
    <row r="415" spans="2:9" hidden="1" x14ac:dyDescent="0.25">
      <c r="B415">
        <v>1107</v>
      </c>
      <c r="C415" t="s">
        <v>772</v>
      </c>
      <c r="D415" t="s">
        <v>834</v>
      </c>
      <c r="E415" s="30">
        <v>1</v>
      </c>
      <c r="F415" t="s">
        <v>837</v>
      </c>
      <c r="G415" t="s">
        <v>832</v>
      </c>
      <c r="I415" t="str">
        <f>+_xlfn.XLOOKUP(B415,ajus!$B$2:$B$420,ajus!$C$2:$C$420)</f>
        <v>LA COQUERA [26247020;AO 01;IDEAM]</v>
      </c>
    </row>
    <row r="416" spans="2:9" hidden="1" x14ac:dyDescent="0.25">
      <c r="B416">
        <v>1108</v>
      </c>
      <c r="C416" t="s">
        <v>924</v>
      </c>
      <c r="D416" t="s">
        <v>834</v>
      </c>
      <c r="E416" s="30">
        <v>1</v>
      </c>
      <c r="F416" t="s">
        <v>837</v>
      </c>
      <c r="G416" t="s">
        <v>852</v>
      </c>
      <c r="I416" t="e">
        <f>+_xlfn.XLOOKUP(B416,ajus!$B$2:$B$420,ajus!$C$2:$C$420)</f>
        <v>#N/A</v>
      </c>
    </row>
    <row r="417" spans="2:9" hidden="1" x14ac:dyDescent="0.25">
      <c r="B417">
        <v>1109</v>
      </c>
      <c r="C417" t="s">
        <v>925</v>
      </c>
      <c r="D417" t="s">
        <v>834</v>
      </c>
      <c r="E417" s="30">
        <v>1</v>
      </c>
      <c r="F417" t="s">
        <v>842</v>
      </c>
      <c r="G417" t="s">
        <v>832</v>
      </c>
      <c r="I417" t="e">
        <f>+_xlfn.XLOOKUP(B417,ajus!$B$2:$B$420,ajus!$C$2:$C$420)</f>
        <v>#N/A</v>
      </c>
    </row>
    <row r="418" spans="2:9" hidden="1" x14ac:dyDescent="0.25">
      <c r="B418">
        <v>1110</v>
      </c>
      <c r="C418" t="s">
        <v>926</v>
      </c>
      <c r="D418" t="s">
        <v>834</v>
      </c>
      <c r="E418" s="30">
        <v>1</v>
      </c>
      <c r="F418" t="s">
        <v>829</v>
      </c>
      <c r="G418" t="s">
        <v>927</v>
      </c>
      <c r="I418" t="e">
        <f>+_xlfn.XLOOKUP(B418,ajus!$B$2:$B$420,ajus!$C$2:$C$420)</f>
        <v>#N/A</v>
      </c>
    </row>
    <row r="419" spans="2:9" hidden="1" x14ac:dyDescent="0.25">
      <c r="B419">
        <v>1111</v>
      </c>
      <c r="C419" t="s">
        <v>928</v>
      </c>
      <c r="D419" t="s">
        <v>834</v>
      </c>
      <c r="E419" s="30">
        <v>1</v>
      </c>
      <c r="F419" t="s">
        <v>831</v>
      </c>
      <c r="I419" t="e">
        <f>+_xlfn.XLOOKUP(B419,ajus!$B$2:$B$420,ajus!$C$2:$C$420)</f>
        <v>#N/A</v>
      </c>
    </row>
    <row r="420" spans="2:9" hidden="1" x14ac:dyDescent="0.25">
      <c r="B420">
        <v>1112</v>
      </c>
      <c r="C420" t="s">
        <v>773</v>
      </c>
      <c r="D420" t="s">
        <v>834</v>
      </c>
      <c r="E420" s="30">
        <v>1</v>
      </c>
      <c r="F420" t="s">
        <v>842</v>
      </c>
      <c r="G420" t="s">
        <v>838</v>
      </c>
      <c r="I420" t="str">
        <f>+_xlfn.XLOOKUP(B420,ajus!$B$2:$B$420,ajus!$C$2:$C$420)</f>
        <v>EL ALAMBRADO [26127010; QUIN; HID; GOES: CB05842C; AO09; IDEAM]</v>
      </c>
    </row>
    <row r="421" spans="2:9" hidden="1" x14ac:dyDescent="0.25">
      <c r="B421">
        <v>1113</v>
      </c>
      <c r="C421" t="s">
        <v>929</v>
      </c>
      <c r="D421" t="s">
        <v>834</v>
      </c>
      <c r="E421" s="30">
        <v>1</v>
      </c>
      <c r="F421" t="s">
        <v>831</v>
      </c>
      <c r="G421" t="s">
        <v>838</v>
      </c>
      <c r="I421" t="e">
        <f>+_xlfn.XLOOKUP(B421,ajus!$B$2:$B$420,ajus!$C$2:$C$420)</f>
        <v>#N/A</v>
      </c>
    </row>
    <row r="422" spans="2:9" hidden="1" x14ac:dyDescent="0.25">
      <c r="B422">
        <v>1114</v>
      </c>
      <c r="C422" t="s">
        <v>930</v>
      </c>
      <c r="D422" t="s">
        <v>834</v>
      </c>
      <c r="E422" s="30">
        <v>1</v>
      </c>
      <c r="F422" t="s">
        <v>849</v>
      </c>
      <c r="G422" t="s">
        <v>832</v>
      </c>
      <c r="I422" t="e">
        <f>+_xlfn.XLOOKUP(B422,ajus!$B$2:$B$420,ajus!$C$2:$C$420)</f>
        <v>#N/A</v>
      </c>
    </row>
    <row r="423" spans="2:9" hidden="1" x14ac:dyDescent="0.25">
      <c r="B423">
        <v>1115</v>
      </c>
      <c r="C423" t="s">
        <v>931</v>
      </c>
      <c r="D423" t="s">
        <v>834</v>
      </c>
      <c r="E423" s="30">
        <v>10</v>
      </c>
      <c r="F423" t="s">
        <v>932</v>
      </c>
      <c r="G423" t="s">
        <v>933</v>
      </c>
      <c r="I423" t="e">
        <f>+_xlfn.XLOOKUP(B423,ajus!$B$2:$B$420,ajus!$C$2:$C$420)</f>
        <v>#N/A</v>
      </c>
    </row>
    <row r="424" spans="2:9" hidden="1" x14ac:dyDescent="0.25">
      <c r="B424">
        <v>1116</v>
      </c>
      <c r="C424" t="s">
        <v>774</v>
      </c>
      <c r="D424" t="s">
        <v>834</v>
      </c>
      <c r="E424" s="30">
        <v>1</v>
      </c>
      <c r="F424" t="s">
        <v>858</v>
      </c>
      <c r="G424" t="s">
        <v>934</v>
      </c>
      <c r="I424" t="str">
        <f>+_xlfn.XLOOKUP(B424,ajus!$B$2:$B$420,ajus!$C$2:$C$420)</f>
        <v>MITU [42077020;AO 03;FONDO ADAPTACION]</v>
      </c>
    </row>
    <row r="425" spans="2:9" hidden="1" x14ac:dyDescent="0.25">
      <c r="B425">
        <v>1117</v>
      </c>
      <c r="C425" t="s">
        <v>935</v>
      </c>
      <c r="D425" t="s">
        <v>834</v>
      </c>
      <c r="E425" s="30">
        <v>1</v>
      </c>
      <c r="F425" t="s">
        <v>849</v>
      </c>
      <c r="G425" t="s">
        <v>936</v>
      </c>
      <c r="I425" t="e">
        <f>+_xlfn.XLOOKUP(B425,ajus!$B$2:$B$420,ajus!$C$2:$C$420)</f>
        <v>#N/A</v>
      </c>
    </row>
    <row r="426" spans="2:9" hidden="1" x14ac:dyDescent="0.25">
      <c r="B426">
        <v>1119</v>
      </c>
      <c r="C426" t="s">
        <v>937</v>
      </c>
      <c r="D426" t="s">
        <v>834</v>
      </c>
      <c r="E426" s="30">
        <v>1</v>
      </c>
      <c r="F426" t="s">
        <v>849</v>
      </c>
      <c r="G426" t="s">
        <v>852</v>
      </c>
      <c r="I426" t="e">
        <f>+_xlfn.XLOOKUP(B426,ajus!$B$2:$B$420,ajus!$C$2:$C$420)</f>
        <v>#N/A</v>
      </c>
    </row>
    <row r="427" spans="2:9" hidden="1" x14ac:dyDescent="0.25">
      <c r="B427">
        <v>1120</v>
      </c>
      <c r="C427" t="s">
        <v>938</v>
      </c>
      <c r="D427" t="s">
        <v>834</v>
      </c>
      <c r="E427" s="30">
        <v>1</v>
      </c>
      <c r="F427" t="s">
        <v>847</v>
      </c>
      <c r="I427" t="e">
        <f>+_xlfn.XLOOKUP(B427,ajus!$B$2:$B$420,ajus!$C$2:$C$420)</f>
        <v>#N/A</v>
      </c>
    </row>
    <row r="428" spans="2:9" hidden="1" x14ac:dyDescent="0.25">
      <c r="B428">
        <v>1121</v>
      </c>
      <c r="C428" t="s">
        <v>939</v>
      </c>
      <c r="D428" t="s">
        <v>834</v>
      </c>
      <c r="E428" s="30">
        <v>1</v>
      </c>
      <c r="F428" t="s">
        <v>847</v>
      </c>
      <c r="G428" t="s">
        <v>852</v>
      </c>
      <c r="I428" t="e">
        <f>+_xlfn.XLOOKUP(B428,ajus!$B$2:$B$420,ajus!$C$2:$C$420)</f>
        <v>#N/A</v>
      </c>
    </row>
    <row r="429" spans="2:9" hidden="1" x14ac:dyDescent="0.25">
      <c r="B429">
        <v>1122</v>
      </c>
      <c r="C429" t="s">
        <v>775</v>
      </c>
      <c r="D429" t="s">
        <v>834</v>
      </c>
      <c r="E429" s="30">
        <v>1</v>
      </c>
      <c r="F429" t="s">
        <v>831</v>
      </c>
      <c r="G429" t="s">
        <v>838</v>
      </c>
      <c r="I429" t="str">
        <f>+_xlfn.XLOOKUP(B429,ajus!$B$2:$B$420,ajus!$C$2:$C$420)</f>
        <v>PUERTO ARAUJO - AUT [23127020; SAN; HID; LG; AO08; OTT; GOES: CB0F9608; HX; IDEAM]</v>
      </c>
    </row>
    <row r="430" spans="2:9" hidden="1" x14ac:dyDescent="0.25">
      <c r="B430">
        <v>1123</v>
      </c>
      <c r="C430" t="s">
        <v>776</v>
      </c>
      <c r="D430" t="s">
        <v>834</v>
      </c>
      <c r="E430" s="30">
        <v>1</v>
      </c>
      <c r="F430" t="s">
        <v>829</v>
      </c>
      <c r="G430" t="s">
        <v>852</v>
      </c>
      <c r="I430" t="str">
        <f>+_xlfn.XLOOKUP(B430,ajus!$B$2:$B$420,ajus!$C$2:$C$420)</f>
        <v>PIPIGUAY [51027050; AO 07 ; IDEAM]</v>
      </c>
    </row>
    <row r="431" spans="2:9" hidden="1" x14ac:dyDescent="0.25">
      <c r="B431">
        <v>1124</v>
      </c>
      <c r="C431" t="s">
        <v>940</v>
      </c>
      <c r="D431" t="s">
        <v>834</v>
      </c>
      <c r="E431" s="30">
        <v>1</v>
      </c>
      <c r="F431" t="s">
        <v>829</v>
      </c>
      <c r="I431" t="e">
        <f>+_xlfn.XLOOKUP(B431,ajus!$B$2:$B$420,ajus!$C$2:$C$420)</f>
        <v>#N/A</v>
      </c>
    </row>
    <row r="432" spans="2:9" hidden="1" x14ac:dyDescent="0.25">
      <c r="B432">
        <v>1125</v>
      </c>
      <c r="C432" t="s">
        <v>941</v>
      </c>
      <c r="D432" t="s">
        <v>828</v>
      </c>
      <c r="E432" s="30">
        <v>1</v>
      </c>
      <c r="F432" t="s">
        <v>829</v>
      </c>
      <c r="G432" t="s">
        <v>832</v>
      </c>
      <c r="I432" t="e">
        <f>+_xlfn.XLOOKUP(B432,ajus!$B$2:$B$420,ajus!$C$2:$C$420)</f>
        <v>#N/A</v>
      </c>
    </row>
    <row r="433" spans="2:9" x14ac:dyDescent="0.25">
      <c r="B433">
        <v>1127</v>
      </c>
      <c r="C433" t="s">
        <v>777</v>
      </c>
      <c r="D433" t="s">
        <v>828</v>
      </c>
      <c r="E433" s="30">
        <v>1</v>
      </c>
      <c r="F433" t="s">
        <v>829</v>
      </c>
      <c r="G433" t="s">
        <v>832</v>
      </c>
      <c r="I433" t="str">
        <f>+_xlfn.XLOOKUP(B433,ajus!$B$2:$B$420,ajus!$C$2:$C$420)</f>
        <v>GRANJA EL MIRA - AUT [51025090; AO 07;IDEAM]</v>
      </c>
    </row>
    <row r="434" spans="2:9" hidden="1" x14ac:dyDescent="0.25">
      <c r="B434">
        <v>1128</v>
      </c>
      <c r="C434" t="s">
        <v>942</v>
      </c>
      <c r="D434" t="s">
        <v>834</v>
      </c>
      <c r="E434" s="30">
        <v>1</v>
      </c>
      <c r="F434" t="s">
        <v>844</v>
      </c>
      <c r="G434" t="s">
        <v>838</v>
      </c>
      <c r="I434" t="e">
        <f>+_xlfn.XLOOKUP(B434,ajus!$B$2:$B$420,ajus!$C$2:$C$420)</f>
        <v>#N/A</v>
      </c>
    </row>
    <row r="435" spans="2:9" hidden="1" x14ac:dyDescent="0.25">
      <c r="B435">
        <v>1129</v>
      </c>
      <c r="C435" t="s">
        <v>943</v>
      </c>
      <c r="D435" t="s">
        <v>828</v>
      </c>
      <c r="E435" s="30">
        <v>1</v>
      </c>
      <c r="F435" t="s">
        <v>839</v>
      </c>
      <c r="G435" t="s">
        <v>838</v>
      </c>
      <c r="I435" t="e">
        <f>+_xlfn.XLOOKUP(B435,ajus!$B$2:$B$420,ajus!$C$2:$C$420)</f>
        <v>#N/A</v>
      </c>
    </row>
    <row r="436" spans="2:9" hidden="1" x14ac:dyDescent="0.25">
      <c r="B436">
        <v>1130</v>
      </c>
      <c r="C436" t="s">
        <v>944</v>
      </c>
      <c r="D436" t="s">
        <v>828</v>
      </c>
      <c r="E436" s="30">
        <v>1</v>
      </c>
      <c r="F436" t="s">
        <v>846</v>
      </c>
      <c r="G436" t="s">
        <v>838</v>
      </c>
      <c r="I436" t="e">
        <f>+_xlfn.XLOOKUP(B436,ajus!$B$2:$B$420,ajus!$C$2:$C$420)</f>
        <v>#N/A</v>
      </c>
    </row>
    <row r="437" spans="2:9" hidden="1" x14ac:dyDescent="0.25">
      <c r="B437">
        <v>1133</v>
      </c>
      <c r="C437" t="s">
        <v>778</v>
      </c>
      <c r="D437" t="s">
        <v>834</v>
      </c>
      <c r="E437" s="30">
        <v>1</v>
      </c>
      <c r="F437" t="s">
        <v>846</v>
      </c>
      <c r="I437" t="str">
        <f>+_xlfn.XLOOKUP(B437,ajus!$B$2:$B$420,ajus!$C$2:$C$420)</f>
        <v>VILLARREAL [44197020; AO11; IDEAM]</v>
      </c>
    </row>
    <row r="438" spans="2:9" hidden="1" x14ac:dyDescent="0.25">
      <c r="B438">
        <v>1134</v>
      </c>
      <c r="C438" t="s">
        <v>945</v>
      </c>
      <c r="D438" t="s">
        <v>828</v>
      </c>
      <c r="E438" s="30">
        <v>1</v>
      </c>
      <c r="F438" t="s">
        <v>847</v>
      </c>
      <c r="G438" t="s">
        <v>838</v>
      </c>
      <c r="I438" t="e">
        <f>+_xlfn.XLOOKUP(B438,ajus!$B$2:$B$420,ajus!$C$2:$C$420)</f>
        <v>#N/A</v>
      </c>
    </row>
    <row r="439" spans="2:9" hidden="1" x14ac:dyDescent="0.25">
      <c r="B439">
        <v>1135</v>
      </c>
      <c r="C439" t="s">
        <v>946</v>
      </c>
      <c r="D439" t="s">
        <v>828</v>
      </c>
      <c r="E439" s="30">
        <v>1</v>
      </c>
      <c r="F439" t="s">
        <v>858</v>
      </c>
      <c r="G439" t="s">
        <v>838</v>
      </c>
      <c r="I439" t="e">
        <f>+_xlfn.XLOOKUP(B439,ajus!$B$2:$B$420,ajus!$C$2:$C$420)</f>
        <v>#N/A</v>
      </c>
    </row>
    <row r="440" spans="2:9" hidden="1" x14ac:dyDescent="0.25">
      <c r="B440">
        <v>1136</v>
      </c>
      <c r="C440" t="s">
        <v>947</v>
      </c>
      <c r="D440" t="s">
        <v>834</v>
      </c>
      <c r="E440" s="30">
        <v>1</v>
      </c>
      <c r="F440" t="s">
        <v>837</v>
      </c>
      <c r="I440" t="e">
        <f>+_xlfn.XLOOKUP(B440,ajus!$B$2:$B$420,ajus!$C$2:$C$420)</f>
        <v>#N/A</v>
      </c>
    </row>
    <row r="441" spans="2:9" hidden="1" x14ac:dyDescent="0.25">
      <c r="B441">
        <v>1137</v>
      </c>
      <c r="C441" t="s">
        <v>948</v>
      </c>
      <c r="D441" t="s">
        <v>834</v>
      </c>
      <c r="E441" s="30">
        <v>1</v>
      </c>
      <c r="F441" t="s">
        <v>837</v>
      </c>
      <c r="G441" t="s">
        <v>832</v>
      </c>
      <c r="I441" t="e">
        <f>+_xlfn.XLOOKUP(B441,ajus!$B$2:$B$420,ajus!$C$2:$C$420)</f>
        <v>#N/A</v>
      </c>
    </row>
    <row r="442" spans="2:9" hidden="1" x14ac:dyDescent="0.25">
      <c r="B442">
        <v>1138</v>
      </c>
      <c r="C442" t="s">
        <v>949</v>
      </c>
      <c r="D442" t="s">
        <v>834</v>
      </c>
      <c r="E442" s="30">
        <v>1</v>
      </c>
      <c r="F442" t="s">
        <v>837</v>
      </c>
      <c r="G442" t="s">
        <v>838</v>
      </c>
      <c r="I442" t="e">
        <f>+_xlfn.XLOOKUP(B442,ajus!$B$2:$B$420,ajus!$C$2:$C$420)</f>
        <v>#N/A</v>
      </c>
    </row>
    <row r="443" spans="2:9" hidden="1" x14ac:dyDescent="0.25">
      <c r="B443">
        <v>1139</v>
      </c>
      <c r="C443" t="s">
        <v>950</v>
      </c>
      <c r="D443" t="s">
        <v>834</v>
      </c>
      <c r="E443" s="30">
        <v>1</v>
      </c>
      <c r="F443" t="s">
        <v>847</v>
      </c>
      <c r="G443" t="s">
        <v>852</v>
      </c>
      <c r="I443" t="e">
        <f>+_xlfn.XLOOKUP(B443,ajus!$B$2:$B$420,ajus!$C$2:$C$420)</f>
        <v>#N/A</v>
      </c>
    </row>
    <row r="444" spans="2:9" hidden="1" x14ac:dyDescent="0.25">
      <c r="B444">
        <v>1141</v>
      </c>
      <c r="C444" t="s">
        <v>951</v>
      </c>
      <c r="D444" t="s">
        <v>828</v>
      </c>
      <c r="E444" s="30">
        <v>1</v>
      </c>
      <c r="F444" t="s">
        <v>844</v>
      </c>
      <c r="G444" t="s">
        <v>832</v>
      </c>
      <c r="I444" t="e">
        <f>+_xlfn.XLOOKUP(B444,ajus!$B$2:$B$420,ajus!$C$2:$C$420)</f>
        <v>#N/A</v>
      </c>
    </row>
    <row r="445" spans="2:9" hidden="1" x14ac:dyDescent="0.25">
      <c r="B445">
        <v>1142</v>
      </c>
      <c r="C445" t="s">
        <v>952</v>
      </c>
      <c r="D445" t="s">
        <v>834</v>
      </c>
      <c r="E445" s="30">
        <v>1</v>
      </c>
      <c r="F445" t="s">
        <v>844</v>
      </c>
      <c r="G445" t="s">
        <v>832</v>
      </c>
      <c r="I445" t="e">
        <f>+_xlfn.XLOOKUP(B445,ajus!$B$2:$B$420,ajus!$C$2:$C$420)</f>
        <v>#N/A</v>
      </c>
    </row>
    <row r="446" spans="2:9" hidden="1" x14ac:dyDescent="0.25">
      <c r="B446">
        <v>1143</v>
      </c>
      <c r="C446" t="s">
        <v>953</v>
      </c>
      <c r="D446" t="s">
        <v>834</v>
      </c>
      <c r="E446" s="30">
        <v>1</v>
      </c>
      <c r="F446" t="s">
        <v>844</v>
      </c>
      <c r="G446" t="s">
        <v>832</v>
      </c>
      <c r="I446" t="e">
        <f>+_xlfn.XLOOKUP(B446,ajus!$B$2:$B$420,ajus!$C$2:$C$420)</f>
        <v>#N/A</v>
      </c>
    </row>
    <row r="447" spans="2:9" hidden="1" x14ac:dyDescent="0.25">
      <c r="B447">
        <v>1145</v>
      </c>
      <c r="C447" t="s">
        <v>954</v>
      </c>
      <c r="D447" t="s">
        <v>834</v>
      </c>
      <c r="E447" s="30">
        <v>1</v>
      </c>
      <c r="F447" t="s">
        <v>858</v>
      </c>
      <c r="G447" t="s">
        <v>852</v>
      </c>
      <c r="I447" t="e">
        <f>+_xlfn.XLOOKUP(B447,ajus!$B$2:$B$420,ajus!$C$2:$C$420)</f>
        <v>#N/A</v>
      </c>
    </row>
    <row r="448" spans="2:9" hidden="1" x14ac:dyDescent="0.25">
      <c r="B448">
        <v>1147</v>
      </c>
      <c r="C448" t="s">
        <v>955</v>
      </c>
      <c r="D448" t="s">
        <v>828</v>
      </c>
      <c r="E448" s="30">
        <v>1</v>
      </c>
      <c r="F448" t="s">
        <v>846</v>
      </c>
      <c r="G448" t="s">
        <v>832</v>
      </c>
      <c r="I448" t="e">
        <f>+_xlfn.XLOOKUP(B448,ajus!$B$2:$B$420,ajus!$C$2:$C$420)</f>
        <v>#N/A</v>
      </c>
    </row>
    <row r="449" spans="2:9" hidden="1" x14ac:dyDescent="0.25">
      <c r="B449">
        <v>1148</v>
      </c>
      <c r="C449" t="s">
        <v>956</v>
      </c>
      <c r="D449" t="s">
        <v>834</v>
      </c>
      <c r="E449" s="30">
        <v>1</v>
      </c>
      <c r="F449" t="s">
        <v>829</v>
      </c>
      <c r="G449" t="s">
        <v>852</v>
      </c>
      <c r="I449" t="e">
        <f>+_xlfn.XLOOKUP(B449,ajus!$B$2:$B$420,ajus!$C$2:$C$420)</f>
        <v>#N/A</v>
      </c>
    </row>
    <row r="450" spans="2:9" hidden="1" x14ac:dyDescent="0.25">
      <c r="B450">
        <v>1149</v>
      </c>
      <c r="C450" t="s">
        <v>957</v>
      </c>
      <c r="D450" t="s">
        <v>834</v>
      </c>
      <c r="E450" s="30">
        <v>1</v>
      </c>
      <c r="F450" t="s">
        <v>829</v>
      </c>
      <c r="G450" t="s">
        <v>852</v>
      </c>
      <c r="I450" t="e">
        <f>+_xlfn.XLOOKUP(B450,ajus!$B$2:$B$420,ajus!$C$2:$C$420)</f>
        <v>#N/A</v>
      </c>
    </row>
    <row r="451" spans="2:9" hidden="1" x14ac:dyDescent="0.25">
      <c r="B451">
        <v>1151</v>
      </c>
      <c r="C451" t="s">
        <v>958</v>
      </c>
      <c r="D451" t="s">
        <v>828</v>
      </c>
      <c r="E451" s="30">
        <v>1</v>
      </c>
      <c r="F451" t="s">
        <v>839</v>
      </c>
      <c r="G451" t="s">
        <v>832</v>
      </c>
      <c r="I451" t="e">
        <f>+_xlfn.XLOOKUP(B451,ajus!$B$2:$B$420,ajus!$C$2:$C$420)</f>
        <v>#N/A</v>
      </c>
    </row>
    <row r="452" spans="2:9" hidden="1" x14ac:dyDescent="0.25">
      <c r="B452">
        <v>1152</v>
      </c>
      <c r="C452" t="s">
        <v>959</v>
      </c>
      <c r="D452" t="s">
        <v>828</v>
      </c>
      <c r="E452" s="30">
        <v>1</v>
      </c>
      <c r="F452" t="s">
        <v>839</v>
      </c>
      <c r="G452" t="s">
        <v>960</v>
      </c>
      <c r="I452" t="e">
        <f>+_xlfn.XLOOKUP(B452,ajus!$B$2:$B$420,ajus!$C$2:$C$420)</f>
        <v>#N/A</v>
      </c>
    </row>
    <row r="453" spans="2:9" hidden="1" x14ac:dyDescent="0.25">
      <c r="B453">
        <v>1153</v>
      </c>
      <c r="C453" t="s">
        <v>961</v>
      </c>
      <c r="D453" t="s">
        <v>834</v>
      </c>
      <c r="E453" s="30">
        <v>1</v>
      </c>
      <c r="F453" t="s">
        <v>839</v>
      </c>
      <c r="I453" t="e">
        <f>+_xlfn.XLOOKUP(B453,ajus!$B$2:$B$420,ajus!$C$2:$C$420)</f>
        <v>#N/A</v>
      </c>
    </row>
    <row r="454" spans="2:9" hidden="1" x14ac:dyDescent="0.25">
      <c r="B454">
        <v>1155</v>
      </c>
      <c r="C454" t="s">
        <v>962</v>
      </c>
      <c r="D454" t="s">
        <v>828</v>
      </c>
      <c r="E454" s="30">
        <v>1</v>
      </c>
      <c r="F454" t="s">
        <v>846</v>
      </c>
      <c r="I454" t="str">
        <f>+_xlfn.XLOOKUP(B454,ajus!$B$2:$B$420,ajus!$C$2:$C$420)</f>
        <v>PARQUE RAFAEL NÚÑEZ [35027002]</v>
      </c>
    </row>
    <row r="455" spans="2:9" hidden="1" x14ac:dyDescent="0.25">
      <c r="B455">
        <v>1156</v>
      </c>
      <c r="C455" t="s">
        <v>963</v>
      </c>
      <c r="D455" t="s">
        <v>834</v>
      </c>
      <c r="E455" s="30">
        <v>1</v>
      </c>
      <c r="F455" t="s">
        <v>847</v>
      </c>
      <c r="G455" t="s">
        <v>838</v>
      </c>
      <c r="I455" t="e">
        <f>+_xlfn.XLOOKUP(B455,ajus!$B$2:$B$420,ajus!$C$2:$C$420)</f>
        <v>#N/A</v>
      </c>
    </row>
    <row r="456" spans="2:9" hidden="1" x14ac:dyDescent="0.25">
      <c r="B456">
        <v>1157</v>
      </c>
      <c r="C456" t="s">
        <v>964</v>
      </c>
      <c r="D456" t="s">
        <v>834</v>
      </c>
      <c r="E456" s="30">
        <v>1</v>
      </c>
      <c r="F456" t="s">
        <v>831</v>
      </c>
      <c r="I456" t="e">
        <f>+_xlfn.XLOOKUP(B456,ajus!$B$2:$B$420,ajus!$C$2:$C$420)</f>
        <v>#N/A</v>
      </c>
    </row>
    <row r="457" spans="2:9" hidden="1" x14ac:dyDescent="0.25">
      <c r="B457">
        <v>1158</v>
      </c>
      <c r="C457" t="s">
        <v>965</v>
      </c>
      <c r="D457" t="s">
        <v>828</v>
      </c>
      <c r="E457" s="30">
        <v>1</v>
      </c>
      <c r="F457" t="s">
        <v>847</v>
      </c>
      <c r="G457" t="s">
        <v>838</v>
      </c>
      <c r="I457" t="e">
        <f>+_xlfn.XLOOKUP(B457,ajus!$B$2:$B$420,ajus!$C$2:$C$420)</f>
        <v>#N/A</v>
      </c>
    </row>
    <row r="458" spans="2:9" hidden="1" x14ac:dyDescent="0.25">
      <c r="B458">
        <v>1159</v>
      </c>
      <c r="C458" t="s">
        <v>966</v>
      </c>
      <c r="D458" t="s">
        <v>834</v>
      </c>
      <c r="E458" s="30">
        <v>1</v>
      </c>
      <c r="F458" t="s">
        <v>849</v>
      </c>
      <c r="I458" t="str">
        <f>+_xlfn.XLOOKUP(B458,ajus!$B$2:$B$420,ajus!$C$2:$C$420)</f>
        <v>SAN MIGUEL [2119700147]</v>
      </c>
    </row>
    <row r="459" spans="2:9" hidden="1" x14ac:dyDescent="0.25">
      <c r="B459">
        <v>1160</v>
      </c>
      <c r="C459" t="s">
        <v>967</v>
      </c>
      <c r="D459" t="s">
        <v>828</v>
      </c>
      <c r="E459" s="30">
        <v>1</v>
      </c>
      <c r="F459" t="s">
        <v>839</v>
      </c>
      <c r="G459" t="s">
        <v>968</v>
      </c>
      <c r="I459" t="e">
        <f>+_xlfn.XLOOKUP(B459,ajus!$B$2:$B$420,ajus!$C$2:$C$420)</f>
        <v>#N/A</v>
      </c>
    </row>
    <row r="460" spans="2:9" hidden="1" x14ac:dyDescent="0.25">
      <c r="B460">
        <v>1164</v>
      </c>
      <c r="C460" t="s">
        <v>969</v>
      </c>
      <c r="D460" t="s">
        <v>834</v>
      </c>
      <c r="E460" s="30">
        <v>1</v>
      </c>
      <c r="F460" t="s">
        <v>836</v>
      </c>
      <c r="G460" t="s">
        <v>832</v>
      </c>
      <c r="I460" t="e">
        <f>+_xlfn.XLOOKUP(B460,ajus!$B$2:$B$420,ajus!$C$2:$C$420)</f>
        <v>#N/A</v>
      </c>
    </row>
    <row r="461" spans="2:9" hidden="1" x14ac:dyDescent="0.25">
      <c r="B461">
        <v>1165</v>
      </c>
      <c r="C461" t="s">
        <v>970</v>
      </c>
      <c r="D461" t="s">
        <v>828</v>
      </c>
      <c r="E461" s="30">
        <v>28</v>
      </c>
      <c r="F461" t="s">
        <v>829</v>
      </c>
      <c r="G461" t="s">
        <v>832</v>
      </c>
      <c r="I461" t="e">
        <f>+_xlfn.XLOOKUP(B461,ajus!$B$2:$B$420,ajus!$C$2:$C$420)</f>
        <v>#N/A</v>
      </c>
    </row>
    <row r="462" spans="2:9" hidden="1" x14ac:dyDescent="0.25">
      <c r="B462">
        <v>1166</v>
      </c>
      <c r="C462" t="s">
        <v>971</v>
      </c>
      <c r="D462" t="s">
        <v>828</v>
      </c>
      <c r="E462" s="30">
        <v>28</v>
      </c>
      <c r="F462" t="s">
        <v>829</v>
      </c>
      <c r="G462" t="s">
        <v>852</v>
      </c>
      <c r="I462" t="e">
        <f>+_xlfn.XLOOKUP(B462,ajus!$B$2:$B$420,ajus!$C$2:$C$420)</f>
        <v>#N/A</v>
      </c>
    </row>
    <row r="463" spans="2:9" hidden="1" x14ac:dyDescent="0.25">
      <c r="B463">
        <v>1167</v>
      </c>
      <c r="C463" t="s">
        <v>972</v>
      </c>
      <c r="D463" t="s">
        <v>828</v>
      </c>
      <c r="E463" s="30">
        <v>28</v>
      </c>
      <c r="F463" t="s">
        <v>829</v>
      </c>
      <c r="G463" t="s">
        <v>838</v>
      </c>
      <c r="I463" t="e">
        <f>+_xlfn.XLOOKUP(B463,ajus!$B$2:$B$420,ajus!$C$2:$C$420)</f>
        <v>#N/A</v>
      </c>
    </row>
    <row r="464" spans="2:9" hidden="1" x14ac:dyDescent="0.25">
      <c r="B464">
        <v>1168</v>
      </c>
      <c r="C464" t="s">
        <v>973</v>
      </c>
      <c r="D464" t="s">
        <v>828</v>
      </c>
      <c r="E464" s="30">
        <v>28</v>
      </c>
      <c r="F464" t="s">
        <v>829</v>
      </c>
      <c r="G464" t="s">
        <v>838</v>
      </c>
      <c r="I464" t="e">
        <f>+_xlfn.XLOOKUP(B464,ajus!$B$2:$B$420,ajus!$C$2:$C$420)</f>
        <v>#N/A</v>
      </c>
    </row>
    <row r="465" spans="2:9" hidden="1" x14ac:dyDescent="0.25">
      <c r="B465">
        <v>1169</v>
      </c>
      <c r="C465" t="s">
        <v>974</v>
      </c>
      <c r="D465" t="s">
        <v>828</v>
      </c>
      <c r="E465" s="30">
        <v>1</v>
      </c>
      <c r="F465" t="s">
        <v>847</v>
      </c>
      <c r="G465" t="s">
        <v>838</v>
      </c>
      <c r="I465" t="e">
        <f>+_xlfn.XLOOKUP(B465,ajus!$B$2:$B$420,ajus!$C$2:$C$420)</f>
        <v>#N/A</v>
      </c>
    </row>
    <row r="466" spans="2:9" hidden="1" x14ac:dyDescent="0.25">
      <c r="B466">
        <v>1170</v>
      </c>
      <c r="C466" t="s">
        <v>975</v>
      </c>
      <c r="D466" t="s">
        <v>828</v>
      </c>
      <c r="E466" s="30">
        <v>27</v>
      </c>
      <c r="F466" t="s">
        <v>846</v>
      </c>
      <c r="G466" t="s">
        <v>838</v>
      </c>
      <c r="I466" t="e">
        <f>+_xlfn.XLOOKUP(B466,ajus!$B$2:$B$420,ajus!$C$2:$C$420)</f>
        <v>#N/A</v>
      </c>
    </row>
    <row r="467" spans="2:9" hidden="1" x14ac:dyDescent="0.25">
      <c r="B467">
        <v>1171</v>
      </c>
      <c r="C467" t="s">
        <v>976</v>
      </c>
      <c r="D467" t="s">
        <v>828</v>
      </c>
      <c r="E467" s="30">
        <v>1</v>
      </c>
      <c r="F467" t="s">
        <v>858</v>
      </c>
      <c r="G467" t="s">
        <v>832</v>
      </c>
      <c r="I467" t="e">
        <f>+_xlfn.XLOOKUP(B467,ajus!$B$2:$B$420,ajus!$C$2:$C$420)</f>
        <v>#N/A</v>
      </c>
    </row>
    <row r="468" spans="2:9" hidden="1" x14ac:dyDescent="0.25">
      <c r="B468">
        <v>1172</v>
      </c>
      <c r="C468" t="s">
        <v>977</v>
      </c>
      <c r="D468" t="s">
        <v>834</v>
      </c>
      <c r="E468" s="30">
        <v>1</v>
      </c>
      <c r="F468" t="s">
        <v>844</v>
      </c>
      <c r="G468" t="s">
        <v>832</v>
      </c>
      <c r="I468" t="e">
        <f>+_xlfn.XLOOKUP(B468,ajus!$B$2:$B$420,ajus!$C$2:$C$420)</f>
        <v>#N/A</v>
      </c>
    </row>
    <row r="469" spans="2:9" hidden="1" x14ac:dyDescent="0.25">
      <c r="B469">
        <v>1173</v>
      </c>
      <c r="C469" t="s">
        <v>978</v>
      </c>
      <c r="D469" t="s">
        <v>834</v>
      </c>
      <c r="E469" s="30">
        <v>1</v>
      </c>
      <c r="F469" t="s">
        <v>844</v>
      </c>
      <c r="G469" t="s">
        <v>838</v>
      </c>
      <c r="I469" t="e">
        <f>+_xlfn.XLOOKUP(B469,ajus!$B$2:$B$420,ajus!$C$2:$C$420)</f>
        <v>#N/A</v>
      </c>
    </row>
    <row r="470" spans="2:9" hidden="1" x14ac:dyDescent="0.25">
      <c r="B470">
        <v>1174</v>
      </c>
      <c r="C470" t="s">
        <v>979</v>
      </c>
      <c r="D470" t="s">
        <v>834</v>
      </c>
      <c r="E470" s="30">
        <v>1</v>
      </c>
      <c r="F470" t="s">
        <v>844</v>
      </c>
      <c r="G470" t="s">
        <v>838</v>
      </c>
      <c r="I470" t="e">
        <f>+_xlfn.XLOOKUP(B470,ajus!$B$2:$B$420,ajus!$C$2:$C$420)</f>
        <v>#N/A</v>
      </c>
    </row>
    <row r="471" spans="2:9" hidden="1" x14ac:dyDescent="0.25">
      <c r="B471">
        <v>1175</v>
      </c>
      <c r="C471" t="s">
        <v>980</v>
      </c>
      <c r="D471" t="s">
        <v>828</v>
      </c>
      <c r="E471" s="30">
        <v>1</v>
      </c>
      <c r="F471" t="s">
        <v>844</v>
      </c>
      <c r="I471" t="e">
        <f>+_xlfn.XLOOKUP(B471,ajus!$B$2:$B$420,ajus!$C$2:$C$420)</f>
        <v>#N/A</v>
      </c>
    </row>
    <row r="472" spans="2:9" hidden="1" x14ac:dyDescent="0.25">
      <c r="B472">
        <v>1176</v>
      </c>
      <c r="C472" t="s">
        <v>981</v>
      </c>
      <c r="D472" t="s">
        <v>834</v>
      </c>
      <c r="E472" s="30">
        <v>1</v>
      </c>
      <c r="F472" t="s">
        <v>837</v>
      </c>
      <c r="G472" t="s">
        <v>838</v>
      </c>
      <c r="I472" t="e">
        <f>+_xlfn.XLOOKUP(B472,ajus!$B$2:$B$420,ajus!$C$2:$C$420)</f>
        <v>#N/A</v>
      </c>
    </row>
    <row r="473" spans="2:9" hidden="1" x14ac:dyDescent="0.25">
      <c r="B473">
        <v>1177</v>
      </c>
      <c r="C473" t="s">
        <v>982</v>
      </c>
      <c r="D473" t="s">
        <v>828</v>
      </c>
      <c r="E473" s="30">
        <v>1</v>
      </c>
      <c r="F473" t="s">
        <v>846</v>
      </c>
      <c r="G473" t="s">
        <v>838</v>
      </c>
      <c r="I473" t="e">
        <f>+_xlfn.XLOOKUP(B473,ajus!$B$2:$B$420,ajus!$C$2:$C$420)</f>
        <v>#N/A</v>
      </c>
    </row>
    <row r="474" spans="2:9" hidden="1" x14ac:dyDescent="0.25">
      <c r="B474">
        <v>1179</v>
      </c>
      <c r="C474" t="s">
        <v>983</v>
      </c>
      <c r="D474" t="s">
        <v>828</v>
      </c>
      <c r="E474" s="30">
        <v>4</v>
      </c>
      <c r="F474" t="s">
        <v>858</v>
      </c>
      <c r="G474" t="s">
        <v>838</v>
      </c>
      <c r="I474" t="e">
        <f>+_xlfn.XLOOKUP(B474,ajus!$B$2:$B$420,ajus!$C$2:$C$420)</f>
        <v>#N/A</v>
      </c>
    </row>
    <row r="475" spans="2:9" hidden="1" x14ac:dyDescent="0.25">
      <c r="B475">
        <v>1180</v>
      </c>
      <c r="C475" t="s">
        <v>984</v>
      </c>
      <c r="D475" t="s">
        <v>828</v>
      </c>
      <c r="E475" s="30">
        <v>26</v>
      </c>
      <c r="F475" t="s">
        <v>839</v>
      </c>
      <c r="I475" t="e">
        <f>+_xlfn.XLOOKUP(B475,ajus!$B$2:$B$420,ajus!$C$2:$C$420)</f>
        <v>#N/A</v>
      </c>
    </row>
    <row r="476" spans="2:9" hidden="1" x14ac:dyDescent="0.25">
      <c r="B476">
        <v>1181</v>
      </c>
      <c r="C476" t="s">
        <v>985</v>
      </c>
      <c r="D476" t="s">
        <v>828</v>
      </c>
      <c r="E476" s="30">
        <v>26</v>
      </c>
      <c r="F476" t="s">
        <v>839</v>
      </c>
      <c r="G476" t="s">
        <v>838</v>
      </c>
      <c r="I476" t="e">
        <f>+_xlfn.XLOOKUP(B476,ajus!$B$2:$B$420,ajus!$C$2:$C$420)</f>
        <v>#N/A</v>
      </c>
    </row>
    <row r="477" spans="2:9" hidden="1" x14ac:dyDescent="0.25">
      <c r="B477">
        <v>1182</v>
      </c>
      <c r="C477" t="s">
        <v>986</v>
      </c>
      <c r="D477" t="s">
        <v>834</v>
      </c>
      <c r="E477" s="30">
        <v>26</v>
      </c>
      <c r="F477" t="s">
        <v>839</v>
      </c>
      <c r="I477" t="e">
        <f>+_xlfn.XLOOKUP(B477,ajus!$B$2:$B$420,ajus!$C$2:$C$420)</f>
        <v>#N/A</v>
      </c>
    </row>
    <row r="478" spans="2:9" hidden="1" x14ac:dyDescent="0.25">
      <c r="B478">
        <v>1183</v>
      </c>
      <c r="C478" t="s">
        <v>987</v>
      </c>
      <c r="D478" t="s">
        <v>834</v>
      </c>
      <c r="E478" s="30">
        <v>26</v>
      </c>
      <c r="F478" t="s">
        <v>839</v>
      </c>
      <c r="G478" t="s">
        <v>838</v>
      </c>
      <c r="I478" t="e">
        <f>+_xlfn.XLOOKUP(B478,ajus!$B$2:$B$420,ajus!$C$2:$C$420)</f>
        <v>#N/A</v>
      </c>
    </row>
    <row r="479" spans="2:9" hidden="1" x14ac:dyDescent="0.25">
      <c r="B479">
        <v>1184</v>
      </c>
      <c r="C479" t="s">
        <v>988</v>
      </c>
      <c r="D479" t="s">
        <v>828</v>
      </c>
      <c r="E479" s="30">
        <v>25</v>
      </c>
      <c r="F479" t="s">
        <v>844</v>
      </c>
      <c r="G479" t="s">
        <v>832</v>
      </c>
      <c r="I479" t="e">
        <f>+_xlfn.XLOOKUP(B479,ajus!$B$2:$B$420,ajus!$C$2:$C$420)</f>
        <v>#N/A</v>
      </c>
    </row>
    <row r="480" spans="2:9" hidden="1" x14ac:dyDescent="0.25">
      <c r="B480">
        <v>1185</v>
      </c>
      <c r="C480" t="s">
        <v>989</v>
      </c>
      <c r="D480" t="s">
        <v>828</v>
      </c>
      <c r="E480" s="30">
        <v>25</v>
      </c>
      <c r="F480" t="s">
        <v>844</v>
      </c>
      <c r="G480" t="s">
        <v>832</v>
      </c>
      <c r="I480" t="e">
        <f>+_xlfn.XLOOKUP(B480,ajus!$B$2:$B$420,ajus!$C$2:$C$420)</f>
        <v>#N/A</v>
      </c>
    </row>
    <row r="481" spans="2:9" hidden="1" x14ac:dyDescent="0.25">
      <c r="B481">
        <v>1186</v>
      </c>
      <c r="C481" t="s">
        <v>990</v>
      </c>
      <c r="D481" t="s">
        <v>828</v>
      </c>
      <c r="E481" s="30">
        <v>20</v>
      </c>
      <c r="F481" t="s">
        <v>847</v>
      </c>
      <c r="G481" t="s">
        <v>991</v>
      </c>
      <c r="I481" t="e">
        <f>+_xlfn.XLOOKUP(B481,ajus!$B$2:$B$420,ajus!$C$2:$C$420)</f>
        <v>#N/A</v>
      </c>
    </row>
    <row r="482" spans="2:9" hidden="1" x14ac:dyDescent="0.25">
      <c r="B482">
        <v>1188</v>
      </c>
      <c r="C482" t="s">
        <v>992</v>
      </c>
      <c r="D482" t="s">
        <v>828</v>
      </c>
      <c r="E482" s="30">
        <v>25</v>
      </c>
      <c r="F482" t="s">
        <v>844</v>
      </c>
      <c r="G482" t="s">
        <v>838</v>
      </c>
      <c r="I482" t="e">
        <f>+_xlfn.XLOOKUP(B482,ajus!$B$2:$B$420,ajus!$C$2:$C$420)</f>
        <v>#N/A</v>
      </c>
    </row>
    <row r="483" spans="2:9" hidden="1" x14ac:dyDescent="0.25">
      <c r="B483">
        <v>1189</v>
      </c>
      <c r="C483" t="s">
        <v>993</v>
      </c>
      <c r="D483" t="s">
        <v>828</v>
      </c>
      <c r="E483" s="30">
        <v>25</v>
      </c>
      <c r="F483" t="s">
        <v>847</v>
      </c>
      <c r="G483" t="s">
        <v>838</v>
      </c>
      <c r="I483" t="e">
        <f>+_xlfn.XLOOKUP(B483,ajus!$B$2:$B$420,ajus!$C$2:$C$420)</f>
        <v>#N/A</v>
      </c>
    </row>
    <row r="484" spans="2:9" hidden="1" x14ac:dyDescent="0.25">
      <c r="B484">
        <v>1190</v>
      </c>
      <c r="C484" t="s">
        <v>994</v>
      </c>
      <c r="D484" t="s">
        <v>828</v>
      </c>
      <c r="E484" s="30">
        <v>25</v>
      </c>
      <c r="F484" t="s">
        <v>844</v>
      </c>
      <c r="G484" t="s">
        <v>838</v>
      </c>
      <c r="I484" t="e">
        <f>+_xlfn.XLOOKUP(B484,ajus!$B$2:$B$420,ajus!$C$2:$C$420)</f>
        <v>#N/A</v>
      </c>
    </row>
    <row r="485" spans="2:9" hidden="1" x14ac:dyDescent="0.25">
      <c r="B485">
        <v>1191</v>
      </c>
      <c r="C485" t="s">
        <v>995</v>
      </c>
      <c r="D485" t="s">
        <v>834</v>
      </c>
      <c r="E485" s="30">
        <v>1</v>
      </c>
      <c r="F485" t="s">
        <v>844</v>
      </c>
      <c r="I485" t="e">
        <f>+_xlfn.XLOOKUP(B485,ajus!$B$2:$B$420,ajus!$C$2:$C$420)</f>
        <v>#N/A</v>
      </c>
    </row>
    <row r="486" spans="2:9" hidden="1" x14ac:dyDescent="0.25">
      <c r="B486">
        <v>1192</v>
      </c>
      <c r="C486" t="s">
        <v>779</v>
      </c>
      <c r="D486" t="s">
        <v>828</v>
      </c>
      <c r="E486" s="30">
        <v>20</v>
      </c>
      <c r="F486" t="s">
        <v>842</v>
      </c>
      <c r="G486" t="s">
        <v>991</v>
      </c>
      <c r="I486" t="str">
        <f>+_xlfn.XLOOKUP(B486,ajus!$B$2:$B$420,ajus!$C$2:$C$420)</f>
        <v>AEROPUERTO LA NUBIA [26155110; AO 09; MET; GPRS, FONDO ADAPTACION]</v>
      </c>
    </row>
    <row r="487" spans="2:9" hidden="1" x14ac:dyDescent="0.25">
      <c r="B487">
        <v>1193</v>
      </c>
      <c r="C487" t="s">
        <v>996</v>
      </c>
      <c r="D487" t="s">
        <v>828</v>
      </c>
      <c r="E487" s="30">
        <v>1</v>
      </c>
      <c r="F487" t="s">
        <v>847</v>
      </c>
      <c r="G487" t="s">
        <v>832</v>
      </c>
      <c r="I487" t="e">
        <f>+_xlfn.XLOOKUP(B487,ajus!$B$2:$B$420,ajus!$C$2:$C$420)</f>
        <v>#N/A</v>
      </c>
    </row>
    <row r="488" spans="2:9" hidden="1" x14ac:dyDescent="0.25">
      <c r="B488">
        <v>1194</v>
      </c>
      <c r="C488" t="s">
        <v>997</v>
      </c>
      <c r="D488" t="s">
        <v>828</v>
      </c>
      <c r="E488" s="30">
        <v>20</v>
      </c>
      <c r="F488" t="s">
        <v>831</v>
      </c>
      <c r="G488" t="s">
        <v>838</v>
      </c>
      <c r="I488" t="e">
        <f>+_xlfn.XLOOKUP(B488,ajus!$B$2:$B$420,ajus!$C$2:$C$420)</f>
        <v>#N/A</v>
      </c>
    </row>
    <row r="489" spans="2:9" hidden="1" x14ac:dyDescent="0.25">
      <c r="B489">
        <v>1195</v>
      </c>
      <c r="C489" t="s">
        <v>998</v>
      </c>
      <c r="D489" t="s">
        <v>828</v>
      </c>
      <c r="E489" s="30">
        <v>1</v>
      </c>
      <c r="F489" t="s">
        <v>849</v>
      </c>
      <c r="I489" t="e">
        <f>+_xlfn.XLOOKUP(B489,ajus!$B$2:$B$420,ajus!$C$2:$C$420)</f>
        <v>#N/A</v>
      </c>
    </row>
    <row r="490" spans="2:9" hidden="1" x14ac:dyDescent="0.25">
      <c r="B490">
        <v>1196</v>
      </c>
      <c r="C490" t="s">
        <v>999</v>
      </c>
      <c r="D490" t="s">
        <v>828</v>
      </c>
      <c r="E490" s="30">
        <v>10</v>
      </c>
      <c r="F490" t="s">
        <v>1000</v>
      </c>
      <c r="G490" t="s">
        <v>838</v>
      </c>
      <c r="I490" t="e">
        <f>+_xlfn.XLOOKUP(B490,ajus!$B$2:$B$420,ajus!$C$2:$C$420)</f>
        <v>#N/A</v>
      </c>
    </row>
    <row r="491" spans="2:9" hidden="1" x14ac:dyDescent="0.25">
      <c r="B491">
        <v>1197</v>
      </c>
      <c r="C491" t="s">
        <v>1001</v>
      </c>
      <c r="D491" t="s">
        <v>828</v>
      </c>
      <c r="E491" s="30">
        <v>40</v>
      </c>
      <c r="F491" t="s">
        <v>839</v>
      </c>
      <c r="G491" t="s">
        <v>838</v>
      </c>
      <c r="I491" t="e">
        <f>+_xlfn.XLOOKUP(B491,ajus!$B$2:$B$420,ajus!$C$2:$C$420)</f>
        <v>#N/A</v>
      </c>
    </row>
    <row r="492" spans="2:9" hidden="1" x14ac:dyDescent="0.25">
      <c r="B492">
        <v>1198</v>
      </c>
      <c r="C492" t="s">
        <v>1002</v>
      </c>
      <c r="D492" t="s">
        <v>834</v>
      </c>
      <c r="E492" s="30">
        <v>40</v>
      </c>
      <c r="F492" t="s">
        <v>839</v>
      </c>
      <c r="G492" t="s">
        <v>852</v>
      </c>
      <c r="I492" t="e">
        <f>+_xlfn.XLOOKUP(B492,ajus!$B$2:$B$420,ajus!$C$2:$C$420)</f>
        <v>#N/A</v>
      </c>
    </row>
    <row r="493" spans="2:9" hidden="1" x14ac:dyDescent="0.25">
      <c r="B493">
        <v>1199</v>
      </c>
      <c r="C493" t="s">
        <v>1003</v>
      </c>
      <c r="D493" t="s">
        <v>828</v>
      </c>
      <c r="E493" s="30">
        <v>40</v>
      </c>
      <c r="F493" t="s">
        <v>839</v>
      </c>
      <c r="I493" t="e">
        <f>+_xlfn.XLOOKUP(B493,ajus!$B$2:$B$420,ajus!$C$2:$C$420)</f>
        <v>#N/A</v>
      </c>
    </row>
    <row r="494" spans="2:9" hidden="1" x14ac:dyDescent="0.25">
      <c r="B494">
        <v>1401</v>
      </c>
      <c r="C494" t="s">
        <v>1004</v>
      </c>
      <c r="D494" t="s">
        <v>828</v>
      </c>
      <c r="E494" s="30">
        <v>10</v>
      </c>
      <c r="F494" t="s">
        <v>1005</v>
      </c>
      <c r="G494" t="s">
        <v>852</v>
      </c>
      <c r="I494" t="e">
        <f>+_xlfn.XLOOKUP(B494,ajus!$B$2:$B$420,ajus!$C$2:$C$420)</f>
        <v>#N/A</v>
      </c>
    </row>
    <row r="495" spans="2:9" hidden="1" x14ac:dyDescent="0.25">
      <c r="B495">
        <v>1402</v>
      </c>
      <c r="C495" t="s">
        <v>1006</v>
      </c>
      <c r="D495" t="s">
        <v>828</v>
      </c>
      <c r="E495" s="30">
        <v>10</v>
      </c>
      <c r="F495" t="s">
        <v>1005</v>
      </c>
      <c r="G495" t="s">
        <v>852</v>
      </c>
      <c r="I495" t="e">
        <f>+_xlfn.XLOOKUP(B495,ajus!$B$2:$B$420,ajus!$C$2:$C$420)</f>
        <v>#N/A</v>
      </c>
    </row>
    <row r="496" spans="2:9" hidden="1" x14ac:dyDescent="0.25">
      <c r="B496">
        <v>1403</v>
      </c>
      <c r="C496" t="s">
        <v>1007</v>
      </c>
      <c r="D496" t="s">
        <v>828</v>
      </c>
      <c r="E496" s="30">
        <v>10</v>
      </c>
      <c r="F496" t="s">
        <v>1005</v>
      </c>
      <c r="G496" t="s">
        <v>852</v>
      </c>
      <c r="I496" t="e">
        <f>+_xlfn.XLOOKUP(B496,ajus!$B$2:$B$420,ajus!$C$2:$C$420)</f>
        <v>#N/A</v>
      </c>
    </row>
    <row r="497" spans="2:9" hidden="1" x14ac:dyDescent="0.25">
      <c r="B497">
        <v>1405</v>
      </c>
      <c r="C497" t="s">
        <v>1008</v>
      </c>
      <c r="D497" t="s">
        <v>828</v>
      </c>
      <c r="E497" s="30">
        <v>10</v>
      </c>
      <c r="F497" t="s">
        <v>1005</v>
      </c>
      <c r="G497" t="s">
        <v>852</v>
      </c>
      <c r="I497" t="e">
        <f>+_xlfn.XLOOKUP(B497,ajus!$B$2:$B$420,ajus!$C$2:$C$420)</f>
        <v>#N/A</v>
      </c>
    </row>
    <row r="498" spans="2:9" hidden="1" x14ac:dyDescent="0.25">
      <c r="B498">
        <v>1406</v>
      </c>
      <c r="C498" t="s">
        <v>1009</v>
      </c>
      <c r="D498" t="s">
        <v>828</v>
      </c>
      <c r="E498" s="30">
        <v>10</v>
      </c>
      <c r="F498" t="s">
        <v>1005</v>
      </c>
      <c r="G498" t="s">
        <v>852</v>
      </c>
      <c r="I498" t="e">
        <f>+_xlfn.XLOOKUP(B498,ajus!$B$2:$B$420,ajus!$C$2:$C$420)</f>
        <v>#N/A</v>
      </c>
    </row>
    <row r="499" spans="2:9" hidden="1" x14ac:dyDescent="0.25">
      <c r="B499">
        <v>1407</v>
      </c>
      <c r="C499" t="s">
        <v>1010</v>
      </c>
      <c r="D499" t="s">
        <v>828</v>
      </c>
      <c r="E499" s="30">
        <v>10</v>
      </c>
      <c r="F499" t="s">
        <v>1005</v>
      </c>
      <c r="G499" t="s">
        <v>852</v>
      </c>
      <c r="I499" t="e">
        <f>+_xlfn.XLOOKUP(B499,ajus!$B$2:$B$420,ajus!$C$2:$C$420)</f>
        <v>#N/A</v>
      </c>
    </row>
    <row r="500" spans="2:9" hidden="1" x14ac:dyDescent="0.25">
      <c r="B500">
        <v>1408</v>
      </c>
      <c r="C500" t="s">
        <v>1011</v>
      </c>
      <c r="D500" t="s">
        <v>828</v>
      </c>
      <c r="E500" s="30">
        <v>10</v>
      </c>
      <c r="F500" t="s">
        <v>1005</v>
      </c>
      <c r="G500" t="s">
        <v>852</v>
      </c>
      <c r="I500" t="e">
        <f>+_xlfn.XLOOKUP(B500,ajus!$B$2:$B$420,ajus!$C$2:$C$420)</f>
        <v>#N/A</v>
      </c>
    </row>
    <row r="501" spans="2:9" hidden="1" x14ac:dyDescent="0.25">
      <c r="B501">
        <v>1409</v>
      </c>
      <c r="C501" t="s">
        <v>1012</v>
      </c>
      <c r="D501" t="s">
        <v>828</v>
      </c>
      <c r="E501" s="30">
        <v>10</v>
      </c>
      <c r="F501" t="s">
        <v>1005</v>
      </c>
      <c r="G501" t="s">
        <v>852</v>
      </c>
      <c r="I501" t="e">
        <f>+_xlfn.XLOOKUP(B501,ajus!$B$2:$B$420,ajus!$C$2:$C$420)</f>
        <v>#N/A</v>
      </c>
    </row>
    <row r="502" spans="2:9" hidden="1" x14ac:dyDescent="0.25">
      <c r="B502">
        <v>1410</v>
      </c>
      <c r="C502" t="s">
        <v>1013</v>
      </c>
      <c r="D502" t="s">
        <v>828</v>
      </c>
      <c r="E502" s="30">
        <v>10</v>
      </c>
      <c r="F502" t="s">
        <v>1005</v>
      </c>
      <c r="G502" t="s">
        <v>852</v>
      </c>
      <c r="I502" t="e">
        <f>+_xlfn.XLOOKUP(B502,ajus!$B$2:$B$420,ajus!$C$2:$C$420)</f>
        <v>#N/A</v>
      </c>
    </row>
    <row r="503" spans="2:9" hidden="1" x14ac:dyDescent="0.25">
      <c r="B503">
        <v>1411</v>
      </c>
      <c r="C503" t="s">
        <v>1014</v>
      </c>
      <c r="D503" t="s">
        <v>828</v>
      </c>
      <c r="E503" s="30">
        <v>10</v>
      </c>
      <c r="F503" t="s">
        <v>1005</v>
      </c>
      <c r="G503" t="s">
        <v>852</v>
      </c>
      <c r="I503" t="e">
        <f>+_xlfn.XLOOKUP(B503,ajus!$B$2:$B$420,ajus!$C$2:$C$420)</f>
        <v>#N/A</v>
      </c>
    </row>
    <row r="504" spans="2:9" hidden="1" x14ac:dyDescent="0.25">
      <c r="B504">
        <v>1412</v>
      </c>
      <c r="C504" t="s">
        <v>1015</v>
      </c>
      <c r="D504" t="s">
        <v>828</v>
      </c>
      <c r="E504" s="30">
        <v>10</v>
      </c>
      <c r="F504" t="s">
        <v>1005</v>
      </c>
      <c r="G504" t="s">
        <v>852</v>
      </c>
      <c r="I504" t="e">
        <f>+_xlfn.XLOOKUP(B504,ajus!$B$2:$B$420,ajus!$C$2:$C$420)</f>
        <v>#N/A</v>
      </c>
    </row>
    <row r="505" spans="2:9" hidden="1" x14ac:dyDescent="0.25">
      <c r="B505">
        <v>1413</v>
      </c>
      <c r="C505" t="s">
        <v>1016</v>
      </c>
      <c r="D505" t="s">
        <v>828</v>
      </c>
      <c r="E505" s="30">
        <v>10</v>
      </c>
      <c r="F505" t="s">
        <v>1005</v>
      </c>
      <c r="G505" t="s">
        <v>852</v>
      </c>
      <c r="I505" t="e">
        <f>+_xlfn.XLOOKUP(B505,ajus!$B$2:$B$420,ajus!$C$2:$C$420)</f>
        <v>#N/A</v>
      </c>
    </row>
    <row r="506" spans="2:9" hidden="1" x14ac:dyDescent="0.25">
      <c r="B506">
        <v>1414</v>
      </c>
      <c r="C506" t="s">
        <v>1017</v>
      </c>
      <c r="D506" t="s">
        <v>828</v>
      </c>
      <c r="E506" s="30">
        <v>10</v>
      </c>
      <c r="F506" t="s">
        <v>1005</v>
      </c>
      <c r="G506" t="s">
        <v>852</v>
      </c>
      <c r="I506" t="e">
        <f>+_xlfn.XLOOKUP(B506,ajus!$B$2:$B$420,ajus!$C$2:$C$420)</f>
        <v>#N/A</v>
      </c>
    </row>
    <row r="507" spans="2:9" hidden="1" x14ac:dyDescent="0.25">
      <c r="B507">
        <v>1415</v>
      </c>
      <c r="C507" t="s">
        <v>1018</v>
      </c>
      <c r="D507" t="s">
        <v>828</v>
      </c>
      <c r="E507" s="30">
        <v>10</v>
      </c>
      <c r="F507" t="s">
        <v>1005</v>
      </c>
      <c r="G507" t="s">
        <v>852</v>
      </c>
      <c r="I507" t="e">
        <f>+_xlfn.XLOOKUP(B507,ajus!$B$2:$B$420,ajus!$C$2:$C$420)</f>
        <v>#N/A</v>
      </c>
    </row>
    <row r="508" spans="2:9" hidden="1" x14ac:dyDescent="0.25">
      <c r="B508">
        <v>1416</v>
      </c>
      <c r="C508" t="s">
        <v>1019</v>
      </c>
      <c r="D508" t="s">
        <v>828</v>
      </c>
      <c r="E508" s="30">
        <v>10</v>
      </c>
      <c r="F508" t="s">
        <v>1005</v>
      </c>
      <c r="G508" t="s">
        <v>852</v>
      </c>
      <c r="I508" t="e">
        <f>+_xlfn.XLOOKUP(B508,ajus!$B$2:$B$420,ajus!$C$2:$C$420)</f>
        <v>#N/A</v>
      </c>
    </row>
    <row r="509" spans="2:9" hidden="1" x14ac:dyDescent="0.25">
      <c r="B509">
        <v>1417</v>
      </c>
      <c r="C509" t="s">
        <v>1020</v>
      </c>
      <c r="D509" t="s">
        <v>828</v>
      </c>
      <c r="E509" s="30">
        <v>10</v>
      </c>
      <c r="F509" t="s">
        <v>1005</v>
      </c>
      <c r="G509" t="s">
        <v>852</v>
      </c>
      <c r="I509" t="e">
        <f>+_xlfn.XLOOKUP(B509,ajus!$B$2:$B$420,ajus!$C$2:$C$420)</f>
        <v>#N/A</v>
      </c>
    </row>
    <row r="510" spans="2:9" hidden="1" x14ac:dyDescent="0.25">
      <c r="B510">
        <v>1418</v>
      </c>
      <c r="C510" t="s">
        <v>1021</v>
      </c>
      <c r="D510" t="s">
        <v>828</v>
      </c>
      <c r="E510" s="30">
        <v>10</v>
      </c>
      <c r="F510" t="s">
        <v>1005</v>
      </c>
      <c r="G510" t="s">
        <v>1022</v>
      </c>
      <c r="I510" t="e">
        <f>+_xlfn.XLOOKUP(B510,ajus!$B$2:$B$420,ajus!$C$2:$C$420)</f>
        <v>#N/A</v>
      </c>
    </row>
    <row r="511" spans="2:9" hidden="1" x14ac:dyDescent="0.25">
      <c r="B511">
        <v>1419</v>
      </c>
      <c r="C511" t="s">
        <v>1023</v>
      </c>
      <c r="D511" t="s">
        <v>828</v>
      </c>
      <c r="E511" s="30">
        <v>10</v>
      </c>
      <c r="F511" t="s">
        <v>1005</v>
      </c>
      <c r="G511" t="s">
        <v>1022</v>
      </c>
      <c r="I511" t="e">
        <f>+_xlfn.XLOOKUP(B511,ajus!$B$2:$B$420,ajus!$C$2:$C$420)</f>
        <v>#N/A</v>
      </c>
    </row>
    <row r="512" spans="2:9" hidden="1" x14ac:dyDescent="0.25">
      <c r="B512">
        <v>1420</v>
      </c>
      <c r="C512" t="s">
        <v>1024</v>
      </c>
      <c r="D512" t="s">
        <v>828</v>
      </c>
      <c r="E512" s="30">
        <v>10</v>
      </c>
      <c r="F512" t="s">
        <v>1005</v>
      </c>
      <c r="G512" t="s">
        <v>1022</v>
      </c>
      <c r="I512" t="e">
        <f>+_xlfn.XLOOKUP(B512,ajus!$B$2:$B$420,ajus!$C$2:$C$420)</f>
        <v>#N/A</v>
      </c>
    </row>
    <row r="513" spans="2:9" hidden="1" x14ac:dyDescent="0.25">
      <c r="B513">
        <v>1421</v>
      </c>
      <c r="C513" t="s">
        <v>1025</v>
      </c>
      <c r="D513" t="s">
        <v>828</v>
      </c>
      <c r="E513" s="30">
        <v>10</v>
      </c>
      <c r="F513" t="s">
        <v>1005</v>
      </c>
      <c r="G513" t="s">
        <v>1022</v>
      </c>
      <c r="I513" t="e">
        <f>+_xlfn.XLOOKUP(B513,ajus!$B$2:$B$420,ajus!$C$2:$C$420)</f>
        <v>#N/A</v>
      </c>
    </row>
    <row r="514" spans="2:9" hidden="1" x14ac:dyDescent="0.25">
      <c r="B514">
        <v>1422</v>
      </c>
      <c r="C514" t="s">
        <v>1026</v>
      </c>
      <c r="D514" t="s">
        <v>828</v>
      </c>
      <c r="E514" s="30">
        <v>10</v>
      </c>
      <c r="F514" t="s">
        <v>1005</v>
      </c>
      <c r="G514" t="s">
        <v>1022</v>
      </c>
      <c r="I514" t="e">
        <f>+_xlfn.XLOOKUP(B514,ajus!$B$2:$B$420,ajus!$C$2:$C$420)</f>
        <v>#N/A</v>
      </c>
    </row>
    <row r="515" spans="2:9" hidden="1" x14ac:dyDescent="0.25">
      <c r="B515">
        <v>1423</v>
      </c>
      <c r="C515" t="s">
        <v>1027</v>
      </c>
      <c r="D515" t="s">
        <v>834</v>
      </c>
      <c r="E515" s="30">
        <v>10</v>
      </c>
      <c r="F515" t="s">
        <v>1005</v>
      </c>
      <c r="G515" t="s">
        <v>1022</v>
      </c>
      <c r="I515" t="e">
        <f>+_xlfn.XLOOKUP(B515,ajus!$B$2:$B$420,ajus!$C$2:$C$420)</f>
        <v>#N/A</v>
      </c>
    </row>
    <row r="516" spans="2:9" hidden="1" x14ac:dyDescent="0.25">
      <c r="B516">
        <v>1424</v>
      </c>
      <c r="C516" t="s">
        <v>1028</v>
      </c>
      <c r="D516" t="s">
        <v>828</v>
      </c>
      <c r="E516" s="30">
        <v>10</v>
      </c>
      <c r="F516" t="s">
        <v>1005</v>
      </c>
      <c r="G516" t="s">
        <v>838</v>
      </c>
      <c r="I516" t="e">
        <f>+_xlfn.XLOOKUP(B516,ajus!$B$2:$B$420,ajus!$C$2:$C$420)</f>
        <v>#N/A</v>
      </c>
    </row>
    <row r="517" spans="2:9" hidden="1" x14ac:dyDescent="0.25">
      <c r="B517">
        <v>1425</v>
      </c>
      <c r="C517" t="s">
        <v>1029</v>
      </c>
      <c r="D517" t="s">
        <v>828</v>
      </c>
      <c r="E517" s="30">
        <v>10</v>
      </c>
      <c r="F517" t="s">
        <v>1005</v>
      </c>
      <c r="G517" t="s">
        <v>838</v>
      </c>
      <c r="I517" t="e">
        <f>+_xlfn.XLOOKUP(B517,ajus!$B$2:$B$420,ajus!$C$2:$C$420)</f>
        <v>#N/A</v>
      </c>
    </row>
    <row r="518" spans="2:9" hidden="1" x14ac:dyDescent="0.25">
      <c r="B518">
        <v>1426</v>
      </c>
      <c r="C518" t="s">
        <v>1030</v>
      </c>
      <c r="D518" t="s">
        <v>834</v>
      </c>
      <c r="E518" s="30">
        <v>10</v>
      </c>
      <c r="F518" t="s">
        <v>1005</v>
      </c>
      <c r="G518" t="s">
        <v>838</v>
      </c>
      <c r="I518" t="e">
        <f>+_xlfn.XLOOKUP(B518,ajus!$B$2:$B$420,ajus!$C$2:$C$420)</f>
        <v>#N/A</v>
      </c>
    </row>
    <row r="519" spans="2:9" hidden="1" x14ac:dyDescent="0.25">
      <c r="B519">
        <v>1501</v>
      </c>
      <c r="C519" t="s">
        <v>1031</v>
      </c>
      <c r="D519" t="s">
        <v>834</v>
      </c>
      <c r="E519" s="30">
        <v>2</v>
      </c>
      <c r="F519" t="s">
        <v>839</v>
      </c>
      <c r="G519" t="s">
        <v>852</v>
      </c>
      <c r="I519" t="e">
        <f>+_xlfn.XLOOKUP(B519,ajus!$B$2:$B$420,ajus!$C$2:$C$420)</f>
        <v>#N/A</v>
      </c>
    </row>
    <row r="520" spans="2:9" hidden="1" x14ac:dyDescent="0.25">
      <c r="B520">
        <v>1502</v>
      </c>
      <c r="C520" t="s">
        <v>1032</v>
      </c>
      <c r="D520" t="s">
        <v>828</v>
      </c>
      <c r="E520" s="30">
        <v>2</v>
      </c>
      <c r="F520" t="s">
        <v>839</v>
      </c>
      <c r="G520" t="s">
        <v>838</v>
      </c>
      <c r="I520" t="e">
        <f>+_xlfn.XLOOKUP(B520,ajus!$B$2:$B$420,ajus!$C$2:$C$420)</f>
        <v>#N/A</v>
      </c>
    </row>
    <row r="521" spans="2:9" hidden="1" x14ac:dyDescent="0.25">
      <c r="B521">
        <v>1503</v>
      </c>
      <c r="C521" t="s">
        <v>1033</v>
      </c>
      <c r="D521" t="s">
        <v>834</v>
      </c>
      <c r="E521" s="30">
        <v>2</v>
      </c>
      <c r="F521" t="s">
        <v>839</v>
      </c>
      <c r="G521" t="s">
        <v>838</v>
      </c>
      <c r="I521" t="e">
        <f>+_xlfn.XLOOKUP(B521,ajus!$B$2:$B$420,ajus!$C$2:$C$420)</f>
        <v>#N/A</v>
      </c>
    </row>
    <row r="522" spans="2:9" hidden="1" x14ac:dyDescent="0.25">
      <c r="B522">
        <v>1504</v>
      </c>
      <c r="C522" t="s">
        <v>780</v>
      </c>
      <c r="D522" t="s">
        <v>834</v>
      </c>
      <c r="E522" s="30">
        <v>2</v>
      </c>
      <c r="F522" t="s">
        <v>858</v>
      </c>
      <c r="I522" t="str">
        <f>+_xlfn.XLOOKUP(B522,ajus!$B$2:$B$420,ajus!$C$2:$C$420)</f>
        <v>OROCUE BRAZO DERECHO [35227070;AO 03;PAREX 4]</v>
      </c>
    </row>
    <row r="523" spans="2:9" hidden="1" x14ac:dyDescent="0.25">
      <c r="B523">
        <v>1505</v>
      </c>
      <c r="C523" t="s">
        <v>1034</v>
      </c>
      <c r="D523" t="s">
        <v>828</v>
      </c>
      <c r="E523" s="30">
        <v>2</v>
      </c>
      <c r="F523" t="s">
        <v>839</v>
      </c>
      <c r="G523" t="s">
        <v>1035</v>
      </c>
      <c r="I523" t="e">
        <f>+_xlfn.XLOOKUP(B523,ajus!$B$2:$B$420,ajus!$C$2:$C$420)</f>
        <v>#N/A</v>
      </c>
    </row>
    <row r="524" spans="2:9" hidden="1" x14ac:dyDescent="0.25">
      <c r="B524">
        <v>1506</v>
      </c>
      <c r="C524" t="s">
        <v>1036</v>
      </c>
      <c r="D524" t="s">
        <v>834</v>
      </c>
      <c r="E524" s="30">
        <v>2</v>
      </c>
      <c r="F524" t="s">
        <v>839</v>
      </c>
      <c r="G524" t="s">
        <v>838</v>
      </c>
      <c r="I524" t="e">
        <f>+_xlfn.XLOOKUP(B524,ajus!$B$2:$B$420,ajus!$C$2:$C$420)</f>
        <v>#N/A</v>
      </c>
    </row>
    <row r="525" spans="2:9" hidden="1" x14ac:dyDescent="0.25">
      <c r="B525">
        <v>1507</v>
      </c>
      <c r="C525" t="s">
        <v>1037</v>
      </c>
      <c r="D525" t="s">
        <v>828</v>
      </c>
      <c r="E525" s="30">
        <v>2</v>
      </c>
      <c r="F525" t="s">
        <v>839</v>
      </c>
      <c r="G525" t="s">
        <v>1038</v>
      </c>
      <c r="I525" t="e">
        <f>+_xlfn.XLOOKUP(B525,ajus!$B$2:$B$420,ajus!$C$2:$C$420)</f>
        <v>#N/A</v>
      </c>
    </row>
    <row r="526" spans="2:9" hidden="1" x14ac:dyDescent="0.25">
      <c r="B526">
        <v>1508</v>
      </c>
      <c r="C526" t="s">
        <v>1039</v>
      </c>
      <c r="D526" t="s">
        <v>828</v>
      </c>
      <c r="E526" s="30">
        <v>2</v>
      </c>
      <c r="F526" t="s">
        <v>839</v>
      </c>
      <c r="G526" t="s">
        <v>1040</v>
      </c>
      <c r="I526" t="e">
        <f>+_xlfn.XLOOKUP(B526,ajus!$B$2:$B$420,ajus!$C$2:$C$420)</f>
        <v>#N/A</v>
      </c>
    </row>
    <row r="527" spans="2:9" hidden="1" x14ac:dyDescent="0.25">
      <c r="B527">
        <v>1509</v>
      </c>
      <c r="C527" t="s">
        <v>1041</v>
      </c>
      <c r="D527" t="s">
        <v>828</v>
      </c>
      <c r="E527" s="30">
        <v>2</v>
      </c>
      <c r="F527" t="s">
        <v>858</v>
      </c>
      <c r="G527" t="s">
        <v>830</v>
      </c>
      <c r="I527" t="e">
        <f>+_xlfn.XLOOKUP(B527,ajus!$B$2:$B$420,ajus!$C$2:$C$420)</f>
        <v>#N/A</v>
      </c>
    </row>
    <row r="528" spans="2:9" hidden="1" x14ac:dyDescent="0.25">
      <c r="B528">
        <v>1510</v>
      </c>
      <c r="C528" t="s">
        <v>1042</v>
      </c>
      <c r="D528" t="s">
        <v>828</v>
      </c>
      <c r="E528" s="30">
        <v>2</v>
      </c>
      <c r="F528" t="s">
        <v>839</v>
      </c>
      <c r="G528" t="s">
        <v>838</v>
      </c>
      <c r="I528" t="e">
        <f>+_xlfn.XLOOKUP(B528,ajus!$B$2:$B$420,ajus!$C$2:$C$420)</f>
        <v>#N/A</v>
      </c>
    </row>
    <row r="529" spans="2:9" hidden="1" x14ac:dyDescent="0.25">
      <c r="B529">
        <v>1511</v>
      </c>
      <c r="C529" t="s">
        <v>1043</v>
      </c>
      <c r="D529" t="s">
        <v>828</v>
      </c>
      <c r="E529" s="30">
        <v>2</v>
      </c>
      <c r="F529" t="s">
        <v>839</v>
      </c>
      <c r="G529" t="s">
        <v>838</v>
      </c>
      <c r="I529" t="e">
        <f>+_xlfn.XLOOKUP(B529,ajus!$B$2:$B$420,ajus!$C$2:$C$420)</f>
        <v>#N/A</v>
      </c>
    </row>
    <row r="530" spans="2:9" hidden="1" x14ac:dyDescent="0.25">
      <c r="B530">
        <v>1512</v>
      </c>
      <c r="C530" t="s">
        <v>1044</v>
      </c>
      <c r="D530" t="s">
        <v>828</v>
      </c>
      <c r="E530" s="30">
        <v>2</v>
      </c>
      <c r="F530" t="s">
        <v>839</v>
      </c>
      <c r="G530" t="s">
        <v>852</v>
      </c>
      <c r="I530" t="e">
        <f>+_xlfn.XLOOKUP(B530,ajus!$B$2:$B$420,ajus!$C$2:$C$420)</f>
        <v>#N/A</v>
      </c>
    </row>
    <row r="531" spans="2:9" hidden="1" x14ac:dyDescent="0.25">
      <c r="B531">
        <v>1601</v>
      </c>
      <c r="C531" t="s">
        <v>1045</v>
      </c>
      <c r="D531" t="s">
        <v>834</v>
      </c>
      <c r="E531" s="30">
        <v>13</v>
      </c>
      <c r="F531" t="s">
        <v>839</v>
      </c>
      <c r="I531" t="e">
        <f>+_xlfn.XLOOKUP(B531,ajus!$B$2:$B$420,ajus!$C$2:$C$420)</f>
        <v>#N/A</v>
      </c>
    </row>
    <row r="532" spans="2:9" hidden="1" x14ac:dyDescent="0.25">
      <c r="B532">
        <v>1602</v>
      </c>
      <c r="C532" t="s">
        <v>1046</v>
      </c>
      <c r="D532" t="s">
        <v>834</v>
      </c>
      <c r="E532" s="30">
        <v>13</v>
      </c>
      <c r="F532" t="s">
        <v>839</v>
      </c>
      <c r="G532" t="s">
        <v>838</v>
      </c>
      <c r="I532" t="e">
        <f>+_xlfn.XLOOKUP(B532,ajus!$B$2:$B$420,ajus!$C$2:$C$420)</f>
        <v>#N/A</v>
      </c>
    </row>
    <row r="533" spans="2:9" hidden="1" x14ac:dyDescent="0.25">
      <c r="B533">
        <v>1603</v>
      </c>
      <c r="C533" t="s">
        <v>1047</v>
      </c>
      <c r="D533" t="s">
        <v>834</v>
      </c>
      <c r="E533" s="30">
        <v>13</v>
      </c>
      <c r="F533" t="s">
        <v>839</v>
      </c>
      <c r="G533" t="s">
        <v>832</v>
      </c>
      <c r="I533" t="e">
        <f>+_xlfn.XLOOKUP(B533,ajus!$B$2:$B$420,ajus!$C$2:$C$420)</f>
        <v>#N/A</v>
      </c>
    </row>
    <row r="534" spans="2:9" hidden="1" x14ac:dyDescent="0.25">
      <c r="B534">
        <v>1604</v>
      </c>
      <c r="C534" t="s">
        <v>1048</v>
      </c>
      <c r="D534" t="s">
        <v>828</v>
      </c>
      <c r="E534" s="30">
        <v>13</v>
      </c>
      <c r="F534" t="s">
        <v>839</v>
      </c>
      <c r="G534" t="s">
        <v>832</v>
      </c>
      <c r="I534" t="e">
        <f>+_xlfn.XLOOKUP(B534,ajus!$B$2:$B$420,ajus!$C$2:$C$420)</f>
        <v>#N/A</v>
      </c>
    </row>
    <row r="535" spans="2:9" hidden="1" x14ac:dyDescent="0.25">
      <c r="B535">
        <v>1605</v>
      </c>
      <c r="C535" t="s">
        <v>1049</v>
      </c>
      <c r="D535" t="s">
        <v>828</v>
      </c>
      <c r="E535" s="30">
        <v>13</v>
      </c>
      <c r="F535" t="s">
        <v>839</v>
      </c>
      <c r="G535" t="s">
        <v>832</v>
      </c>
      <c r="I535" t="e">
        <f>+_xlfn.XLOOKUP(B535,ajus!$B$2:$B$420,ajus!$C$2:$C$420)</f>
        <v>#N/A</v>
      </c>
    </row>
    <row r="536" spans="2:9" hidden="1" x14ac:dyDescent="0.25">
      <c r="B536">
        <v>1606</v>
      </c>
      <c r="C536" t="s">
        <v>1050</v>
      </c>
      <c r="D536" t="s">
        <v>828</v>
      </c>
      <c r="E536" s="30">
        <v>13</v>
      </c>
      <c r="F536" t="s">
        <v>839</v>
      </c>
      <c r="I536" t="e">
        <f>+_xlfn.XLOOKUP(B536,ajus!$B$2:$B$420,ajus!$C$2:$C$420)</f>
        <v>#N/A</v>
      </c>
    </row>
    <row r="537" spans="2:9" hidden="1" x14ac:dyDescent="0.25">
      <c r="B537">
        <v>1607</v>
      </c>
      <c r="C537" t="s">
        <v>1051</v>
      </c>
      <c r="D537" t="s">
        <v>828</v>
      </c>
      <c r="E537" s="30">
        <v>13</v>
      </c>
      <c r="F537" t="s">
        <v>839</v>
      </c>
      <c r="I537" t="e">
        <f>+_xlfn.XLOOKUP(B537,ajus!$B$2:$B$420,ajus!$C$2:$C$420)</f>
        <v>#N/A</v>
      </c>
    </row>
    <row r="538" spans="2:9" hidden="1" x14ac:dyDescent="0.25">
      <c r="B538">
        <v>1608</v>
      </c>
      <c r="C538" t="s">
        <v>1052</v>
      </c>
      <c r="D538" t="s">
        <v>834</v>
      </c>
      <c r="E538" s="30">
        <v>14</v>
      </c>
      <c r="F538" t="s">
        <v>829</v>
      </c>
      <c r="G538" t="s">
        <v>838</v>
      </c>
      <c r="I538" t="e">
        <f>+_xlfn.XLOOKUP(B538,ajus!$B$2:$B$420,ajus!$C$2:$C$420)</f>
        <v>#N/A</v>
      </c>
    </row>
    <row r="539" spans="2:9" hidden="1" x14ac:dyDescent="0.25">
      <c r="B539">
        <v>1651</v>
      </c>
      <c r="C539" t="s">
        <v>1053</v>
      </c>
      <c r="D539" t="s">
        <v>834</v>
      </c>
      <c r="E539" s="30">
        <v>21</v>
      </c>
      <c r="F539" t="s">
        <v>842</v>
      </c>
      <c r="I539" t="e">
        <f>+_xlfn.XLOOKUP(B539,ajus!$B$2:$B$420,ajus!$C$2:$C$420)</f>
        <v>#N/A</v>
      </c>
    </row>
    <row r="540" spans="2:9" hidden="1" x14ac:dyDescent="0.25">
      <c r="B540">
        <v>1652</v>
      </c>
      <c r="C540" t="s">
        <v>781</v>
      </c>
      <c r="D540" t="s">
        <v>828</v>
      </c>
      <c r="E540" s="30">
        <v>21</v>
      </c>
      <c r="F540" t="s">
        <v>837</v>
      </c>
      <c r="G540" t="s">
        <v>838</v>
      </c>
      <c r="I540" t="str">
        <f>+_xlfn.XLOOKUP(B540,ajus!$B$2:$B$420,ajus!$C$2:$C$420)</f>
        <v>BELLAVISTA [11080010;AO 01;PROYECTO CHOCO]</v>
      </c>
    </row>
    <row r="541" spans="2:9" hidden="1" x14ac:dyDescent="0.25">
      <c r="B541">
        <v>1653</v>
      </c>
      <c r="C541" t="s">
        <v>1054</v>
      </c>
      <c r="D541" t="s">
        <v>828</v>
      </c>
      <c r="E541" s="30">
        <v>21</v>
      </c>
      <c r="F541" t="s">
        <v>842</v>
      </c>
      <c r="G541" t="s">
        <v>832</v>
      </c>
      <c r="I541" t="e">
        <f>+_xlfn.XLOOKUP(B541,ajus!$B$2:$B$420,ajus!$C$2:$C$420)</f>
        <v>#N/A</v>
      </c>
    </row>
    <row r="542" spans="2:9" hidden="1" x14ac:dyDescent="0.25">
      <c r="B542">
        <v>1654</v>
      </c>
      <c r="C542" t="s">
        <v>782</v>
      </c>
      <c r="D542" t="s">
        <v>834</v>
      </c>
      <c r="E542" s="30">
        <v>21</v>
      </c>
      <c r="F542" t="s">
        <v>842</v>
      </c>
      <c r="I542" t="str">
        <f>+_xlfn.XLOOKUP(B542,ajus!$B$2:$B$420,ajus!$C$2:$C$420)</f>
        <v>LITORAL SAN JUAN - AUT  [54057020; VDC; HID; GOES:CB11A064; AO09; PROYECTO CHOCO]</v>
      </c>
    </row>
    <row r="543" spans="2:9" hidden="1" x14ac:dyDescent="0.25">
      <c r="B543">
        <v>1655</v>
      </c>
      <c r="C543" t="s">
        <v>783</v>
      </c>
      <c r="D543" t="s">
        <v>828</v>
      </c>
      <c r="E543" s="30">
        <v>21</v>
      </c>
      <c r="F543" t="s">
        <v>837</v>
      </c>
      <c r="I543" t="str">
        <f>+_xlfn.XLOOKUP(B543,ajus!$B$2:$B$420,ajus!$C$2:$C$420)</f>
        <v>CARMEN DEL DARIEN [11105020;AO 01;PROCESO DE SUSPENSIÓN]</v>
      </c>
    </row>
    <row r="544" spans="2:9" hidden="1" x14ac:dyDescent="0.25">
      <c r="B544">
        <v>1656</v>
      </c>
      <c r="C544" t="s">
        <v>1055</v>
      </c>
      <c r="D544" t="s">
        <v>834</v>
      </c>
      <c r="E544" s="30">
        <v>21</v>
      </c>
      <c r="F544" t="s">
        <v>842</v>
      </c>
      <c r="G544" t="s">
        <v>838</v>
      </c>
      <c r="I544" t="e">
        <f>+_xlfn.XLOOKUP(B544,ajus!$B$2:$B$420,ajus!$C$2:$C$420)</f>
        <v>#N/A</v>
      </c>
    </row>
    <row r="545" spans="2:9" hidden="1" x14ac:dyDescent="0.25">
      <c r="B545">
        <v>1657</v>
      </c>
      <c r="C545" t="s">
        <v>784</v>
      </c>
      <c r="D545" t="s">
        <v>834</v>
      </c>
      <c r="E545" s="30">
        <v>21</v>
      </c>
      <c r="F545" t="s">
        <v>837</v>
      </c>
      <c r="I545" t="str">
        <f>+_xlfn.XLOOKUP(B545,ajus!$B$2:$B$420,ajus!$C$2:$C$420)</f>
        <v>BAGADO [11017020; AO 01;SINIESTRO; PROCESO DE SUSPENCIÓN]</v>
      </c>
    </row>
    <row r="546" spans="2:9" hidden="1" x14ac:dyDescent="0.25">
      <c r="B546">
        <v>1658</v>
      </c>
      <c r="C546" t="s">
        <v>1056</v>
      </c>
      <c r="D546" t="s">
        <v>834</v>
      </c>
      <c r="E546" s="30">
        <v>21</v>
      </c>
      <c r="F546" t="s">
        <v>842</v>
      </c>
      <c r="G546" t="s">
        <v>838</v>
      </c>
      <c r="I546" t="e">
        <f>+_xlfn.XLOOKUP(B546,ajus!$B$2:$B$420,ajus!$C$2:$C$420)</f>
        <v>#N/A</v>
      </c>
    </row>
    <row r="547" spans="2:9" hidden="1" x14ac:dyDescent="0.25">
      <c r="B547">
        <v>1659</v>
      </c>
      <c r="C547" t="s">
        <v>785</v>
      </c>
      <c r="D547" t="s">
        <v>828</v>
      </c>
      <c r="E547" s="30">
        <v>21</v>
      </c>
      <c r="F547" t="s">
        <v>842</v>
      </c>
      <c r="G547" t="s">
        <v>832</v>
      </c>
      <c r="I547" t="str">
        <f>+_xlfn.XLOOKUP(B547,ajus!$B$2:$B$420,ajus!$C$2:$C$420)</f>
        <v>UNION PANAMERICANA - AUT  [11035030; AO 09; GPRS; PROYECTO CHOCO]</v>
      </c>
    </row>
    <row r="548" spans="2:9" hidden="1" x14ac:dyDescent="0.25">
      <c r="B548">
        <v>1660</v>
      </c>
      <c r="C548" t="s">
        <v>1057</v>
      </c>
      <c r="D548" t="s">
        <v>828</v>
      </c>
      <c r="E548" s="30">
        <v>21</v>
      </c>
      <c r="F548" t="s">
        <v>842</v>
      </c>
      <c r="G548" t="s">
        <v>832</v>
      </c>
      <c r="I548" t="e">
        <f>+_xlfn.XLOOKUP(B548,ajus!$B$2:$B$420,ajus!$C$2:$C$420)</f>
        <v>#N/A</v>
      </c>
    </row>
    <row r="549" spans="2:9" hidden="1" x14ac:dyDescent="0.25">
      <c r="B549">
        <v>1661</v>
      </c>
      <c r="C549" t="s">
        <v>786</v>
      </c>
      <c r="D549" t="s">
        <v>828</v>
      </c>
      <c r="E549" s="30">
        <v>21</v>
      </c>
      <c r="F549" t="s">
        <v>842</v>
      </c>
      <c r="I549" t="str">
        <f>+_xlfn.XLOOKUP(B549,ajus!$B$2:$B$420,ajus!$C$2:$C$420)</f>
        <v>BAJO BAUDO - AUT  [55015020; CHO; MET; GOES:CB03C7E8; AO09; PROYECTO CHOCO]</v>
      </c>
    </row>
    <row r="550" spans="2:9" hidden="1" x14ac:dyDescent="0.25">
      <c r="B550">
        <v>1662</v>
      </c>
      <c r="C550" t="s">
        <v>1058</v>
      </c>
      <c r="D550" t="s">
        <v>828</v>
      </c>
      <c r="E550" s="30">
        <v>21</v>
      </c>
      <c r="F550" t="s">
        <v>842</v>
      </c>
      <c r="G550" t="s">
        <v>832</v>
      </c>
      <c r="I550" t="e">
        <f>+_xlfn.XLOOKUP(B550,ajus!$B$2:$B$420,ajus!$C$2:$C$420)</f>
        <v>#N/A</v>
      </c>
    </row>
    <row r="551" spans="2:9" hidden="1" x14ac:dyDescent="0.25">
      <c r="B551">
        <v>1663</v>
      </c>
      <c r="C551" t="s">
        <v>787</v>
      </c>
      <c r="D551" t="s">
        <v>828</v>
      </c>
      <c r="E551" s="30">
        <v>21</v>
      </c>
      <c r="F551" t="s">
        <v>842</v>
      </c>
      <c r="G551" t="s">
        <v>832</v>
      </c>
      <c r="I551" t="str">
        <f>+_xlfn.XLOOKUP(B551,ajus!$B$2:$B$420,ajus!$C$2:$C$420)</f>
        <v>NOVITA [54020020; AO 09; MET; GPRS; PROYECTO CHOCO]</v>
      </c>
    </row>
    <row r="552" spans="2:9" hidden="1" x14ac:dyDescent="0.25">
      <c r="B552">
        <v>1664</v>
      </c>
      <c r="C552" t="s">
        <v>1059</v>
      </c>
      <c r="D552" t="s">
        <v>828</v>
      </c>
      <c r="E552" s="30">
        <v>21</v>
      </c>
      <c r="F552" t="s">
        <v>842</v>
      </c>
      <c r="G552" t="s">
        <v>832</v>
      </c>
      <c r="I552" t="e">
        <f>+_xlfn.XLOOKUP(B552,ajus!$B$2:$B$420,ajus!$C$2:$C$420)</f>
        <v>#N/A</v>
      </c>
    </row>
    <row r="553" spans="2:9" hidden="1" x14ac:dyDescent="0.25">
      <c r="B553">
        <v>1666</v>
      </c>
      <c r="C553" t="s">
        <v>1060</v>
      </c>
      <c r="D553" t="s">
        <v>828</v>
      </c>
      <c r="E553" s="30">
        <v>21</v>
      </c>
      <c r="F553" t="s">
        <v>837</v>
      </c>
      <c r="I553" t="e">
        <f>+_xlfn.XLOOKUP(B553,ajus!$B$2:$B$420,ajus!$C$2:$C$420)</f>
        <v>#N/A</v>
      </c>
    </row>
    <row r="554" spans="2:9" hidden="1" x14ac:dyDescent="0.25">
      <c r="B554">
        <v>1667</v>
      </c>
      <c r="C554" t="s">
        <v>788</v>
      </c>
      <c r="D554" t="s">
        <v>828</v>
      </c>
      <c r="E554" s="30">
        <v>21</v>
      </c>
      <c r="F554" t="s">
        <v>837</v>
      </c>
      <c r="I554" t="str">
        <f>+_xlfn.XLOOKUP(B554,ajus!$B$2:$B$420,ajus!$C$2:$C$420)</f>
        <v>NUQUI [56010040;AO 01;PROYECTO CHOCO]</v>
      </c>
    </row>
    <row r="555" spans="2:9" hidden="1" x14ac:dyDescent="0.25">
      <c r="B555">
        <v>1668</v>
      </c>
      <c r="C555" t="s">
        <v>789</v>
      </c>
      <c r="D555" t="s">
        <v>828</v>
      </c>
      <c r="E555" s="30">
        <v>21</v>
      </c>
      <c r="F555" t="s">
        <v>837</v>
      </c>
      <c r="I555" t="str">
        <f>+_xlfn.XLOOKUP(B555,ajus!$B$2:$B$420,ajus!$C$2:$C$420)</f>
        <v>RIOSUCIO [11120040;AO 01;PROYECTO CHOCO]</v>
      </c>
    </row>
    <row r="556" spans="2:9" hidden="1" x14ac:dyDescent="0.25">
      <c r="B556">
        <v>1669</v>
      </c>
      <c r="C556" t="s">
        <v>1061</v>
      </c>
      <c r="D556" t="s">
        <v>828</v>
      </c>
      <c r="E556" s="30">
        <v>21</v>
      </c>
      <c r="F556" t="s">
        <v>842</v>
      </c>
      <c r="I556" t="e">
        <f>+_xlfn.XLOOKUP(B556,ajus!$B$2:$B$420,ajus!$C$2:$C$420)</f>
        <v>#N/A</v>
      </c>
    </row>
    <row r="557" spans="2:9" hidden="1" x14ac:dyDescent="0.25">
      <c r="B557">
        <v>1670</v>
      </c>
      <c r="C557" t="s">
        <v>1062</v>
      </c>
      <c r="D557" t="s">
        <v>828</v>
      </c>
      <c r="E557" s="30">
        <v>21</v>
      </c>
      <c r="F557" t="s">
        <v>842</v>
      </c>
      <c r="G557" t="s">
        <v>1063</v>
      </c>
      <c r="I557" t="e">
        <f>+_xlfn.XLOOKUP(B557,ajus!$B$2:$B$420,ajus!$C$2:$C$420)</f>
        <v>#N/A</v>
      </c>
    </row>
    <row r="558" spans="2:9" hidden="1" x14ac:dyDescent="0.25">
      <c r="B558">
        <v>1671</v>
      </c>
      <c r="C558" t="s">
        <v>1064</v>
      </c>
      <c r="D558" t="s">
        <v>828</v>
      </c>
      <c r="E558" s="30">
        <v>21</v>
      </c>
      <c r="F558" t="s">
        <v>837</v>
      </c>
      <c r="G558" t="s">
        <v>838</v>
      </c>
      <c r="I558" t="e">
        <f>+_xlfn.XLOOKUP(B558,ajus!$B$2:$B$420,ajus!$C$2:$C$420)</f>
        <v>#N/A</v>
      </c>
    </row>
    <row r="559" spans="2:9" hidden="1" x14ac:dyDescent="0.25">
      <c r="B559">
        <v>1672</v>
      </c>
      <c r="C559" t="s">
        <v>790</v>
      </c>
      <c r="D559" t="s">
        <v>828</v>
      </c>
      <c r="E559" s="30">
        <v>21</v>
      </c>
      <c r="F559" t="s">
        <v>837</v>
      </c>
      <c r="I559" t="str">
        <f>+_xlfn.XLOOKUP(B559,ajus!$B$2:$B$420,ajus!$C$2:$C$420)</f>
        <v>JURADO [56015040;AO 01;PROCESO DE SUSPENSIÓN]</v>
      </c>
    </row>
    <row r="560" spans="2:9" hidden="1" x14ac:dyDescent="0.25">
      <c r="B560">
        <v>1673</v>
      </c>
      <c r="C560" t="s">
        <v>1065</v>
      </c>
      <c r="D560" t="s">
        <v>828</v>
      </c>
      <c r="E560" s="30">
        <v>20</v>
      </c>
      <c r="F560" t="s">
        <v>837</v>
      </c>
      <c r="G560" t="s">
        <v>991</v>
      </c>
      <c r="I560" t="e">
        <f>+_xlfn.XLOOKUP(B560,ajus!$B$2:$B$420,ajus!$C$2:$C$420)</f>
        <v>#N/A</v>
      </c>
    </row>
    <row r="561" spans="2:9" hidden="1" x14ac:dyDescent="0.25">
      <c r="B561">
        <v>1940</v>
      </c>
      <c r="C561" t="s">
        <v>35</v>
      </c>
      <c r="D561" t="s">
        <v>834</v>
      </c>
      <c r="E561" s="30">
        <v>3</v>
      </c>
      <c r="F561" t="s">
        <v>844</v>
      </c>
      <c r="G561" t="s">
        <v>838</v>
      </c>
      <c r="I561" t="str">
        <f>+_xlfn.XLOOKUP(B561,ajus!$B$2:$B$420,ajus!$C$2:$C$420)</f>
        <v>CANO BARRO - AUT [13027040]</v>
      </c>
    </row>
    <row r="562" spans="2:9" hidden="1" x14ac:dyDescent="0.25">
      <c r="B562">
        <v>1941</v>
      </c>
      <c r="C562" t="s">
        <v>1066</v>
      </c>
      <c r="D562" t="s">
        <v>834</v>
      </c>
      <c r="E562" s="30">
        <v>3</v>
      </c>
      <c r="F562" t="s">
        <v>844</v>
      </c>
      <c r="G562" t="s">
        <v>838</v>
      </c>
      <c r="I562" t="e">
        <f>+_xlfn.XLOOKUP(B562,ajus!$B$2:$B$420,ajus!$C$2:$C$420)</f>
        <v>#N/A</v>
      </c>
    </row>
    <row r="563" spans="2:9" hidden="1" x14ac:dyDescent="0.25">
      <c r="B563">
        <v>1942</v>
      </c>
      <c r="C563" t="s">
        <v>1067</v>
      </c>
      <c r="D563" t="s">
        <v>828</v>
      </c>
      <c r="E563" s="30">
        <v>3</v>
      </c>
      <c r="F563" t="s">
        <v>844</v>
      </c>
      <c r="G563" t="s">
        <v>838</v>
      </c>
      <c r="I563" t="e">
        <f>+_xlfn.XLOOKUP(B563,ajus!$B$2:$B$420,ajus!$C$2:$C$420)</f>
        <v>#N/A</v>
      </c>
    </row>
    <row r="564" spans="2:9" hidden="1" x14ac:dyDescent="0.25">
      <c r="B564">
        <v>1943</v>
      </c>
      <c r="C564" t="s">
        <v>1068</v>
      </c>
      <c r="D564" t="s">
        <v>828</v>
      </c>
      <c r="E564" s="30">
        <v>3</v>
      </c>
      <c r="F564" t="s">
        <v>844</v>
      </c>
      <c r="I564" t="e">
        <f>+_xlfn.XLOOKUP(B564,ajus!$B$2:$B$420,ajus!$C$2:$C$420)</f>
        <v>#N/A</v>
      </c>
    </row>
    <row r="565" spans="2:9" hidden="1" x14ac:dyDescent="0.25">
      <c r="B565">
        <v>1944</v>
      </c>
      <c r="C565" t="s">
        <v>1069</v>
      </c>
      <c r="D565" t="s">
        <v>834</v>
      </c>
      <c r="E565" s="30">
        <v>3</v>
      </c>
      <c r="F565" t="s">
        <v>844</v>
      </c>
      <c r="I565" t="e">
        <f>+_xlfn.XLOOKUP(B565,ajus!$B$2:$B$420,ajus!$C$2:$C$420)</f>
        <v>#N/A</v>
      </c>
    </row>
    <row r="566" spans="2:9" hidden="1" x14ac:dyDescent="0.25">
      <c r="B566">
        <v>1945</v>
      </c>
      <c r="C566" t="s">
        <v>1070</v>
      </c>
      <c r="D566" t="s">
        <v>834</v>
      </c>
      <c r="E566" s="30">
        <v>3</v>
      </c>
      <c r="F566" t="s">
        <v>844</v>
      </c>
      <c r="G566" t="s">
        <v>832</v>
      </c>
      <c r="I566" t="e">
        <f>+_xlfn.XLOOKUP(B566,ajus!$B$2:$B$420,ajus!$C$2:$C$420)</f>
        <v>#N/A</v>
      </c>
    </row>
    <row r="567" spans="2:9" hidden="1" x14ac:dyDescent="0.25">
      <c r="B567">
        <v>1946</v>
      </c>
      <c r="C567" t="s">
        <v>1071</v>
      </c>
      <c r="D567" t="s">
        <v>828</v>
      </c>
      <c r="E567" s="30">
        <v>3</v>
      </c>
      <c r="F567" t="s">
        <v>844</v>
      </c>
      <c r="G567" t="s">
        <v>838</v>
      </c>
      <c r="I567" t="e">
        <f>+_xlfn.XLOOKUP(B567,ajus!$B$2:$B$420,ajus!$C$2:$C$420)</f>
        <v>#N/A</v>
      </c>
    </row>
    <row r="568" spans="2:9" hidden="1" x14ac:dyDescent="0.25">
      <c r="B568">
        <v>1947</v>
      </c>
      <c r="C568" t="s">
        <v>1072</v>
      </c>
      <c r="D568" t="s">
        <v>828</v>
      </c>
      <c r="E568" s="30">
        <v>3</v>
      </c>
      <c r="F568" t="s">
        <v>844</v>
      </c>
      <c r="G568" t="s">
        <v>832</v>
      </c>
      <c r="I568" t="e">
        <f>+_xlfn.XLOOKUP(B568,ajus!$B$2:$B$420,ajus!$C$2:$C$420)</f>
        <v>#N/A</v>
      </c>
    </row>
    <row r="569" spans="2:9" hidden="1" x14ac:dyDescent="0.25">
      <c r="B569">
        <v>1948</v>
      </c>
      <c r="C569" t="s">
        <v>1073</v>
      </c>
      <c r="D569" t="s">
        <v>828</v>
      </c>
      <c r="E569" s="30">
        <v>3</v>
      </c>
      <c r="F569" t="s">
        <v>844</v>
      </c>
      <c r="I569" t="e">
        <f>+_xlfn.XLOOKUP(B569,ajus!$B$2:$B$420,ajus!$C$2:$C$420)</f>
        <v>#N/A</v>
      </c>
    </row>
    <row r="570" spans="2:9" hidden="1" x14ac:dyDescent="0.25">
      <c r="B570">
        <v>1950</v>
      </c>
      <c r="C570" t="s">
        <v>1074</v>
      </c>
      <c r="D570" t="s">
        <v>828</v>
      </c>
      <c r="E570" s="30">
        <v>3</v>
      </c>
      <c r="F570" t="s">
        <v>844</v>
      </c>
      <c r="G570" t="s">
        <v>1075</v>
      </c>
      <c r="I570" t="e">
        <f>+_xlfn.XLOOKUP(B570,ajus!$B$2:$B$420,ajus!$C$2:$C$420)</f>
        <v>#N/A</v>
      </c>
    </row>
    <row r="571" spans="2:9" hidden="1" x14ac:dyDescent="0.25">
      <c r="B571">
        <v>1951</v>
      </c>
      <c r="C571" t="s">
        <v>1076</v>
      </c>
      <c r="D571" t="s">
        <v>828</v>
      </c>
      <c r="E571" s="30">
        <v>3</v>
      </c>
      <c r="F571" t="s">
        <v>844</v>
      </c>
      <c r="G571" t="s">
        <v>838</v>
      </c>
      <c r="I571" t="e">
        <f>+_xlfn.XLOOKUP(B571,ajus!$B$2:$B$420,ajus!$C$2:$C$420)</f>
        <v>#N/A</v>
      </c>
    </row>
    <row r="572" spans="2:9" hidden="1" x14ac:dyDescent="0.25">
      <c r="B572">
        <v>1952</v>
      </c>
      <c r="C572" t="s">
        <v>1077</v>
      </c>
      <c r="D572" t="s">
        <v>834</v>
      </c>
      <c r="E572" s="30">
        <v>3</v>
      </c>
      <c r="F572" t="s">
        <v>837</v>
      </c>
      <c r="G572" t="s">
        <v>838</v>
      </c>
      <c r="I572" t="e">
        <f>+_xlfn.XLOOKUP(B572,ajus!$B$2:$B$420,ajus!$C$2:$C$420)</f>
        <v>#N/A</v>
      </c>
    </row>
    <row r="573" spans="2:9" hidden="1" x14ac:dyDescent="0.25">
      <c r="B573">
        <v>1954</v>
      </c>
      <c r="C573" t="s">
        <v>791</v>
      </c>
      <c r="D573" t="s">
        <v>834</v>
      </c>
      <c r="E573" s="30">
        <v>1</v>
      </c>
      <c r="F573" t="s">
        <v>836</v>
      </c>
      <c r="I573" t="str">
        <f>+_xlfn.XLOOKUP(B573,ajus!$B$2:$B$420,ajus!$C$2:$C$420)</f>
        <v>RIO CHIQUITO [21057130; CAU; HID; LG; AO04; GOES: CB128186]</v>
      </c>
    </row>
    <row r="574" spans="2:9" hidden="1" x14ac:dyDescent="0.25">
      <c r="B574">
        <v>1955</v>
      </c>
      <c r="C574" t="s">
        <v>1078</v>
      </c>
      <c r="D574" t="s">
        <v>834</v>
      </c>
      <c r="E574" s="30">
        <v>1</v>
      </c>
      <c r="F574" t="s">
        <v>846</v>
      </c>
      <c r="G574" t="s">
        <v>832</v>
      </c>
      <c r="I574" t="e">
        <f>+_xlfn.XLOOKUP(B574,ajus!$B$2:$B$420,ajus!$C$2:$C$420)</f>
        <v>#N/A</v>
      </c>
    </row>
    <row r="575" spans="2:9" hidden="1" x14ac:dyDescent="0.25">
      <c r="B575">
        <v>1982</v>
      </c>
      <c r="C575" t="s">
        <v>1079</v>
      </c>
      <c r="D575" t="s">
        <v>828</v>
      </c>
      <c r="E575" s="30">
        <v>20</v>
      </c>
      <c r="F575" t="s">
        <v>846</v>
      </c>
      <c r="G575" t="s">
        <v>852</v>
      </c>
      <c r="I575" t="e">
        <f>+_xlfn.XLOOKUP(B575,ajus!$B$2:$B$420,ajus!$C$2:$C$420)</f>
        <v>#N/A</v>
      </c>
    </row>
    <row r="576" spans="2:9" hidden="1" x14ac:dyDescent="0.25">
      <c r="B576">
        <v>1983</v>
      </c>
      <c r="C576" t="s">
        <v>1080</v>
      </c>
      <c r="D576" t="s">
        <v>828</v>
      </c>
      <c r="E576" s="30">
        <v>20</v>
      </c>
      <c r="F576" t="s">
        <v>839</v>
      </c>
      <c r="G576" t="s">
        <v>1081</v>
      </c>
      <c r="I576" t="e">
        <f>+_xlfn.XLOOKUP(B576,ajus!$B$2:$B$420,ajus!$C$2:$C$420)</f>
        <v>#N/A</v>
      </c>
    </row>
    <row r="577" spans="2:9" hidden="1" x14ac:dyDescent="0.25">
      <c r="B577">
        <v>1984</v>
      </c>
      <c r="C577" t="s">
        <v>1082</v>
      </c>
      <c r="D577" t="s">
        <v>828</v>
      </c>
      <c r="E577" s="30">
        <v>20</v>
      </c>
      <c r="F577" t="s">
        <v>842</v>
      </c>
      <c r="G577" t="s">
        <v>1083</v>
      </c>
      <c r="I577" t="e">
        <f>+_xlfn.XLOOKUP(B577,ajus!$B$2:$B$420,ajus!$C$2:$C$420)</f>
        <v>#N/A</v>
      </c>
    </row>
    <row r="578" spans="2:9" hidden="1" x14ac:dyDescent="0.25">
      <c r="B578">
        <v>1985</v>
      </c>
      <c r="C578" t="s">
        <v>1084</v>
      </c>
      <c r="D578" t="s">
        <v>828</v>
      </c>
      <c r="E578" s="30">
        <v>20</v>
      </c>
      <c r="F578" t="s">
        <v>846</v>
      </c>
      <c r="G578" t="s">
        <v>1083</v>
      </c>
      <c r="I578" t="e">
        <f>+_xlfn.XLOOKUP(B578,ajus!$B$2:$B$420,ajus!$C$2:$C$420)</f>
        <v>#N/A</v>
      </c>
    </row>
    <row r="579" spans="2:9" hidden="1" x14ac:dyDescent="0.25">
      <c r="B579">
        <v>1987</v>
      </c>
      <c r="C579" t="s">
        <v>1085</v>
      </c>
      <c r="D579" t="s">
        <v>828</v>
      </c>
      <c r="E579" s="30">
        <v>20</v>
      </c>
      <c r="F579" t="s">
        <v>842</v>
      </c>
      <c r="G579" t="s">
        <v>1083</v>
      </c>
      <c r="I579" t="e">
        <f>+_xlfn.XLOOKUP(B579,ajus!$B$2:$B$420,ajus!$C$2:$C$420)</f>
        <v>#N/A</v>
      </c>
    </row>
    <row r="580" spans="2:9" hidden="1" x14ac:dyDescent="0.25">
      <c r="B580">
        <v>1988</v>
      </c>
      <c r="C580" t="s">
        <v>1086</v>
      </c>
      <c r="D580" t="s">
        <v>828</v>
      </c>
      <c r="E580" s="30">
        <v>20</v>
      </c>
      <c r="F580" t="s">
        <v>829</v>
      </c>
      <c r="G580" t="s">
        <v>1083</v>
      </c>
      <c r="I580" t="e">
        <f>+_xlfn.XLOOKUP(B580,ajus!$B$2:$B$420,ajus!$C$2:$C$420)</f>
        <v>#N/A</v>
      </c>
    </row>
    <row r="581" spans="2:9" hidden="1" x14ac:dyDescent="0.25">
      <c r="B581">
        <v>1989</v>
      </c>
      <c r="C581" t="s">
        <v>1087</v>
      </c>
      <c r="D581" t="s">
        <v>828</v>
      </c>
      <c r="E581" s="30">
        <v>20</v>
      </c>
      <c r="F581" t="s">
        <v>847</v>
      </c>
      <c r="G581" t="s">
        <v>1083</v>
      </c>
      <c r="I581" t="e">
        <f>+_xlfn.XLOOKUP(B581,ajus!$B$2:$B$420,ajus!$C$2:$C$420)</f>
        <v>#N/A</v>
      </c>
    </row>
    <row r="582" spans="2:9" hidden="1" x14ac:dyDescent="0.25">
      <c r="B582">
        <v>1990</v>
      </c>
      <c r="C582" t="s">
        <v>1088</v>
      </c>
      <c r="D582" t="s">
        <v>828</v>
      </c>
      <c r="E582" s="30">
        <v>20</v>
      </c>
      <c r="F582" t="s">
        <v>846</v>
      </c>
      <c r="G582" t="s">
        <v>1083</v>
      </c>
      <c r="I582" t="e">
        <f>+_xlfn.XLOOKUP(B582,ajus!$B$2:$B$420,ajus!$C$2:$C$420)</f>
        <v>#N/A</v>
      </c>
    </row>
    <row r="583" spans="2:9" hidden="1" x14ac:dyDescent="0.25">
      <c r="B583">
        <v>1991</v>
      </c>
      <c r="C583" t="s">
        <v>1089</v>
      </c>
      <c r="D583" t="s">
        <v>828</v>
      </c>
      <c r="E583" s="30">
        <v>20</v>
      </c>
      <c r="F583" t="s">
        <v>844</v>
      </c>
      <c r="G583" t="s">
        <v>1083</v>
      </c>
      <c r="I583" t="e">
        <f>+_xlfn.XLOOKUP(B583,ajus!$B$2:$B$420,ajus!$C$2:$C$420)</f>
        <v>#N/A</v>
      </c>
    </row>
    <row r="584" spans="2:9" hidden="1" x14ac:dyDescent="0.25">
      <c r="B584">
        <v>1992</v>
      </c>
      <c r="C584" t="s">
        <v>1090</v>
      </c>
      <c r="D584" t="s">
        <v>828</v>
      </c>
      <c r="E584" s="30">
        <v>20</v>
      </c>
      <c r="F584" t="s">
        <v>844</v>
      </c>
      <c r="G584" t="s">
        <v>991</v>
      </c>
      <c r="I584" t="e">
        <f>+_xlfn.XLOOKUP(B584,ajus!$B$2:$B$420,ajus!$C$2:$C$420)</f>
        <v>#N/A</v>
      </c>
    </row>
    <row r="585" spans="2:9" hidden="1" x14ac:dyDescent="0.25">
      <c r="B585">
        <v>1993</v>
      </c>
      <c r="C585" t="s">
        <v>1091</v>
      </c>
      <c r="D585" t="s">
        <v>828</v>
      </c>
      <c r="E585" s="30">
        <v>20</v>
      </c>
      <c r="F585" t="s">
        <v>847</v>
      </c>
      <c r="G585" t="s">
        <v>1083</v>
      </c>
      <c r="I585" t="e">
        <f>+_xlfn.XLOOKUP(B585,ajus!$B$2:$B$420,ajus!$C$2:$C$420)</f>
        <v>#N/A</v>
      </c>
    </row>
    <row r="586" spans="2:9" hidden="1" x14ac:dyDescent="0.25">
      <c r="B586">
        <v>1994</v>
      </c>
      <c r="C586" t="s">
        <v>1092</v>
      </c>
      <c r="D586" t="s">
        <v>828</v>
      </c>
      <c r="E586" s="30">
        <v>20</v>
      </c>
      <c r="F586" t="s">
        <v>837</v>
      </c>
      <c r="G586" t="s">
        <v>1083</v>
      </c>
      <c r="I586" t="e">
        <f>+_xlfn.XLOOKUP(B586,ajus!$B$2:$B$420,ajus!$C$2:$C$420)</f>
        <v>#N/A</v>
      </c>
    </row>
    <row r="587" spans="2:9" hidden="1" x14ac:dyDescent="0.25">
      <c r="B587">
        <v>1995</v>
      </c>
      <c r="C587" t="s">
        <v>1093</v>
      </c>
      <c r="D587" t="s">
        <v>828</v>
      </c>
      <c r="E587" s="30">
        <v>20</v>
      </c>
      <c r="F587" t="s">
        <v>842</v>
      </c>
      <c r="G587" t="s">
        <v>1083</v>
      </c>
      <c r="I587" t="e">
        <f>+_xlfn.XLOOKUP(B587,ajus!$B$2:$B$420,ajus!$C$2:$C$420)</f>
        <v>#N/A</v>
      </c>
    </row>
    <row r="588" spans="2:9" hidden="1" x14ac:dyDescent="0.25">
      <c r="B588">
        <v>1996</v>
      </c>
      <c r="C588" t="s">
        <v>1094</v>
      </c>
      <c r="D588" t="s">
        <v>828</v>
      </c>
      <c r="E588" s="30">
        <v>20</v>
      </c>
      <c r="F588" t="s">
        <v>831</v>
      </c>
      <c r="G588" t="s">
        <v>1083</v>
      </c>
      <c r="I588" t="e">
        <f>+_xlfn.XLOOKUP(B588,ajus!$B$2:$B$420,ajus!$C$2:$C$420)</f>
        <v>#N/A</v>
      </c>
    </row>
    <row r="589" spans="2:9" hidden="1" x14ac:dyDescent="0.25">
      <c r="B589">
        <v>1997</v>
      </c>
      <c r="C589" t="s">
        <v>1095</v>
      </c>
      <c r="D589" t="s">
        <v>828</v>
      </c>
      <c r="E589" s="30">
        <v>20</v>
      </c>
      <c r="F589" t="s">
        <v>837</v>
      </c>
      <c r="G589" t="s">
        <v>991</v>
      </c>
      <c r="I589" t="e">
        <f>+_xlfn.XLOOKUP(B589,ajus!$B$2:$B$420,ajus!$C$2:$C$420)</f>
        <v>#N/A</v>
      </c>
    </row>
    <row r="590" spans="2:9" hidden="1" x14ac:dyDescent="0.25">
      <c r="B590">
        <v>1998</v>
      </c>
      <c r="C590" t="s">
        <v>1096</v>
      </c>
      <c r="D590" t="s">
        <v>828</v>
      </c>
      <c r="E590" s="30">
        <v>20</v>
      </c>
      <c r="F590" t="s">
        <v>831</v>
      </c>
      <c r="G590" t="s">
        <v>991</v>
      </c>
      <c r="I590" t="e">
        <f>+_xlfn.XLOOKUP(B590,ajus!$B$2:$B$420,ajus!$C$2:$C$420)</f>
        <v>#N/A</v>
      </c>
    </row>
    <row r="591" spans="2:9" hidden="1" x14ac:dyDescent="0.25">
      <c r="B591">
        <v>1999</v>
      </c>
      <c r="C591" t="s">
        <v>1097</v>
      </c>
      <c r="D591" t="s">
        <v>828</v>
      </c>
      <c r="E591" s="30">
        <v>20</v>
      </c>
      <c r="F591" t="s">
        <v>844</v>
      </c>
      <c r="G591" t="s">
        <v>991</v>
      </c>
      <c r="I591" t="e">
        <f>+_xlfn.XLOOKUP(B591,ajus!$B$2:$B$420,ajus!$C$2:$C$420)</f>
        <v>#N/A</v>
      </c>
    </row>
    <row r="592" spans="2:9" hidden="1" x14ac:dyDescent="0.25">
      <c r="B592">
        <v>2000</v>
      </c>
      <c r="C592" t="s">
        <v>1098</v>
      </c>
      <c r="D592" t="s">
        <v>828</v>
      </c>
      <c r="E592" s="30">
        <v>20</v>
      </c>
      <c r="F592" t="s">
        <v>846</v>
      </c>
      <c r="G592" t="s">
        <v>1083</v>
      </c>
      <c r="I592" t="e">
        <f>+_xlfn.XLOOKUP(B592,ajus!$B$2:$B$420,ajus!$C$2:$C$420)</f>
        <v>#N/A</v>
      </c>
    </row>
    <row r="593" spans="2:9" hidden="1" x14ac:dyDescent="0.25">
      <c r="B593">
        <v>2100</v>
      </c>
      <c r="C593" t="s">
        <v>1099</v>
      </c>
      <c r="D593" t="s">
        <v>828</v>
      </c>
      <c r="E593" s="30">
        <v>29</v>
      </c>
      <c r="F593" t="s">
        <v>836</v>
      </c>
      <c r="G593" t="s">
        <v>838</v>
      </c>
      <c r="I593" t="e">
        <f>+_xlfn.XLOOKUP(B593,ajus!$B$2:$B$420,ajus!$C$2:$C$420)</f>
        <v>#N/A</v>
      </c>
    </row>
    <row r="594" spans="2:9" hidden="1" x14ac:dyDescent="0.25">
      <c r="B594">
        <v>2101</v>
      </c>
      <c r="C594" t="s">
        <v>1100</v>
      </c>
      <c r="D594" t="s">
        <v>828</v>
      </c>
      <c r="E594" s="30">
        <v>29</v>
      </c>
      <c r="F594" t="s">
        <v>836</v>
      </c>
      <c r="G594" t="s">
        <v>838</v>
      </c>
      <c r="I594" t="e">
        <f>+_xlfn.XLOOKUP(B594,ajus!$B$2:$B$420,ajus!$C$2:$C$420)</f>
        <v>#N/A</v>
      </c>
    </row>
    <row r="595" spans="2:9" hidden="1" x14ac:dyDescent="0.25">
      <c r="B595">
        <v>2102</v>
      </c>
      <c r="C595" t="s">
        <v>1101</v>
      </c>
      <c r="D595" t="s">
        <v>828</v>
      </c>
      <c r="E595" s="30">
        <v>29</v>
      </c>
      <c r="F595" t="s">
        <v>836</v>
      </c>
      <c r="G595" t="s">
        <v>852</v>
      </c>
      <c r="I595" t="e">
        <f>+_xlfn.XLOOKUP(B595,ajus!$B$2:$B$420,ajus!$C$2:$C$420)</f>
        <v>#N/A</v>
      </c>
    </row>
    <row r="596" spans="2:9" hidden="1" x14ac:dyDescent="0.25">
      <c r="B596">
        <v>2103</v>
      </c>
      <c r="C596" t="s">
        <v>1102</v>
      </c>
      <c r="D596" t="s">
        <v>828</v>
      </c>
      <c r="E596" s="30">
        <v>29</v>
      </c>
      <c r="F596" t="s">
        <v>836</v>
      </c>
      <c r="G596" t="s">
        <v>852</v>
      </c>
      <c r="I596" t="e">
        <f>+_xlfn.XLOOKUP(B596,ajus!$B$2:$B$420,ajus!$C$2:$C$420)</f>
        <v>#N/A</v>
      </c>
    </row>
    <row r="597" spans="2:9" hidden="1" x14ac:dyDescent="0.25">
      <c r="B597">
        <v>2104</v>
      </c>
      <c r="C597" t="s">
        <v>1103</v>
      </c>
      <c r="D597" t="s">
        <v>828</v>
      </c>
      <c r="E597" s="30">
        <v>29</v>
      </c>
      <c r="F597" t="s">
        <v>836</v>
      </c>
      <c r="G597" t="s">
        <v>838</v>
      </c>
      <c r="I597" t="e">
        <f>+_xlfn.XLOOKUP(B597,ajus!$B$2:$B$420,ajus!$C$2:$C$420)</f>
        <v>#N/A</v>
      </c>
    </row>
    <row r="598" spans="2:9" hidden="1" x14ac:dyDescent="0.25">
      <c r="B598">
        <v>2105</v>
      </c>
      <c r="C598" t="s">
        <v>1104</v>
      </c>
      <c r="D598" t="s">
        <v>828</v>
      </c>
      <c r="E598" s="30">
        <v>29</v>
      </c>
      <c r="F598" t="s">
        <v>836</v>
      </c>
      <c r="G598" t="s">
        <v>852</v>
      </c>
      <c r="I598" t="e">
        <f>+_xlfn.XLOOKUP(B598,ajus!$B$2:$B$420,ajus!$C$2:$C$420)</f>
        <v>#N/A</v>
      </c>
    </row>
    <row r="599" spans="2:9" hidden="1" x14ac:dyDescent="0.25">
      <c r="B599">
        <v>2106</v>
      </c>
      <c r="C599" t="s">
        <v>1105</v>
      </c>
      <c r="D599" t="s">
        <v>828</v>
      </c>
      <c r="E599" s="30">
        <v>29</v>
      </c>
      <c r="F599" t="s">
        <v>836</v>
      </c>
      <c r="I599" t="e">
        <f>+_xlfn.XLOOKUP(B599,ajus!$B$2:$B$420,ajus!$C$2:$C$420)</f>
        <v>#N/A</v>
      </c>
    </row>
    <row r="600" spans="2:9" hidden="1" x14ac:dyDescent="0.25">
      <c r="B600">
        <v>2107</v>
      </c>
      <c r="C600" t="s">
        <v>1106</v>
      </c>
      <c r="D600" t="s">
        <v>828</v>
      </c>
      <c r="E600" s="30">
        <v>29</v>
      </c>
      <c r="F600" t="s">
        <v>836</v>
      </c>
      <c r="I600" t="e">
        <f>+_xlfn.XLOOKUP(B600,ajus!$B$2:$B$420,ajus!$C$2:$C$420)</f>
        <v>#N/A</v>
      </c>
    </row>
    <row r="601" spans="2:9" hidden="1" x14ac:dyDescent="0.25">
      <c r="B601">
        <v>2108</v>
      </c>
      <c r="C601" t="s">
        <v>1107</v>
      </c>
      <c r="D601" t="s">
        <v>828</v>
      </c>
      <c r="E601" s="30">
        <v>29</v>
      </c>
      <c r="F601" t="s">
        <v>836</v>
      </c>
      <c r="G601" t="s">
        <v>852</v>
      </c>
      <c r="I601" t="e">
        <f>+_xlfn.XLOOKUP(B601,ajus!$B$2:$B$420,ajus!$C$2:$C$420)</f>
        <v>#N/A</v>
      </c>
    </row>
    <row r="602" spans="2:9" hidden="1" x14ac:dyDescent="0.25">
      <c r="B602">
        <v>2109</v>
      </c>
      <c r="C602" t="s">
        <v>1108</v>
      </c>
      <c r="D602" t="s">
        <v>828</v>
      </c>
      <c r="E602" s="30">
        <v>29</v>
      </c>
      <c r="F602" t="s">
        <v>836</v>
      </c>
      <c r="G602" t="s">
        <v>852</v>
      </c>
      <c r="I602" t="e">
        <f>+_xlfn.XLOOKUP(B602,ajus!$B$2:$B$420,ajus!$C$2:$C$420)</f>
        <v>#N/A</v>
      </c>
    </row>
    <row r="603" spans="2:9" hidden="1" x14ac:dyDescent="0.25">
      <c r="B603">
        <v>2110</v>
      </c>
      <c r="C603" t="s">
        <v>1109</v>
      </c>
      <c r="D603" t="s">
        <v>828</v>
      </c>
      <c r="E603" s="30">
        <v>29</v>
      </c>
      <c r="F603" t="s">
        <v>836</v>
      </c>
      <c r="G603" t="s">
        <v>852</v>
      </c>
      <c r="I603" t="e">
        <f>+_xlfn.XLOOKUP(B603,ajus!$B$2:$B$420,ajus!$C$2:$C$420)</f>
        <v>#N/A</v>
      </c>
    </row>
    <row r="604" spans="2:9" hidden="1" x14ac:dyDescent="0.25">
      <c r="B604">
        <v>2111</v>
      </c>
      <c r="C604" t="s">
        <v>1110</v>
      </c>
      <c r="D604" t="s">
        <v>828</v>
      </c>
      <c r="E604" s="30">
        <v>29</v>
      </c>
      <c r="F604" t="s">
        <v>849</v>
      </c>
      <c r="G604" t="s">
        <v>838</v>
      </c>
      <c r="I604" t="e">
        <f>+_xlfn.XLOOKUP(B604,ajus!$B$2:$B$420,ajus!$C$2:$C$420)</f>
        <v>#N/A</v>
      </c>
    </row>
    <row r="605" spans="2:9" hidden="1" x14ac:dyDescent="0.25">
      <c r="B605">
        <v>2112</v>
      </c>
      <c r="C605" t="s">
        <v>1111</v>
      </c>
      <c r="D605" t="s">
        <v>828</v>
      </c>
      <c r="E605" s="30">
        <v>29</v>
      </c>
      <c r="F605" t="s">
        <v>836</v>
      </c>
      <c r="I605" t="e">
        <f>+_xlfn.XLOOKUP(B605,ajus!$B$2:$B$420,ajus!$C$2:$C$420)</f>
        <v>#N/A</v>
      </c>
    </row>
    <row r="606" spans="2:9" hidden="1" x14ac:dyDescent="0.25">
      <c r="B606">
        <v>2113</v>
      </c>
      <c r="C606" t="s">
        <v>1112</v>
      </c>
      <c r="D606" t="s">
        <v>828</v>
      </c>
      <c r="E606" s="30">
        <v>29</v>
      </c>
      <c r="F606" t="s">
        <v>849</v>
      </c>
      <c r="G606" t="s">
        <v>838</v>
      </c>
      <c r="I606" t="e">
        <f>+_xlfn.XLOOKUP(B606,ajus!$B$2:$B$420,ajus!$C$2:$C$420)</f>
        <v>#N/A</v>
      </c>
    </row>
    <row r="607" spans="2:9" hidden="1" x14ac:dyDescent="0.25">
      <c r="B607">
        <v>2114</v>
      </c>
      <c r="C607" t="s">
        <v>1113</v>
      </c>
      <c r="D607" t="s">
        <v>828</v>
      </c>
      <c r="E607" s="30">
        <v>29</v>
      </c>
      <c r="F607" t="s">
        <v>849</v>
      </c>
      <c r="G607" t="s">
        <v>838</v>
      </c>
      <c r="I607" t="e">
        <f>+_xlfn.XLOOKUP(B607,ajus!$B$2:$B$420,ajus!$C$2:$C$420)</f>
        <v>#N/A</v>
      </c>
    </row>
    <row r="608" spans="2:9" hidden="1" x14ac:dyDescent="0.25">
      <c r="B608">
        <v>2115</v>
      </c>
      <c r="C608" t="s">
        <v>1114</v>
      </c>
      <c r="D608" t="s">
        <v>828</v>
      </c>
      <c r="E608" s="30">
        <v>29</v>
      </c>
      <c r="F608" t="s">
        <v>846</v>
      </c>
      <c r="G608" t="s">
        <v>838</v>
      </c>
      <c r="I608" t="e">
        <f>+_xlfn.XLOOKUP(B608,ajus!$B$2:$B$420,ajus!$C$2:$C$420)</f>
        <v>#N/A</v>
      </c>
    </row>
    <row r="609" spans="2:9" x14ac:dyDescent="0.25">
      <c r="B609">
        <v>2116</v>
      </c>
      <c r="C609" t="s">
        <v>1115</v>
      </c>
      <c r="D609" t="s">
        <v>828</v>
      </c>
      <c r="E609" s="30">
        <v>29</v>
      </c>
      <c r="F609" t="s">
        <v>849</v>
      </c>
      <c r="G609" t="s">
        <v>838</v>
      </c>
      <c r="I609" t="e">
        <f>+_xlfn.XLOOKUP(B609,ajus!$B$2:$B$420,ajus!$C$2:$C$420)</f>
        <v>#N/A</v>
      </c>
    </row>
    <row r="610" spans="2:9" hidden="1" x14ac:dyDescent="0.25">
      <c r="B610">
        <v>2117</v>
      </c>
      <c r="C610" t="s">
        <v>1116</v>
      </c>
      <c r="D610" t="s">
        <v>828</v>
      </c>
      <c r="E610" s="30">
        <v>29</v>
      </c>
      <c r="F610" t="s">
        <v>849</v>
      </c>
      <c r="G610" t="s">
        <v>838</v>
      </c>
      <c r="I610" t="e">
        <f>+_xlfn.XLOOKUP(B610,ajus!$B$2:$B$420,ajus!$C$2:$C$420)</f>
        <v>#N/A</v>
      </c>
    </row>
    <row r="611" spans="2:9" hidden="1" x14ac:dyDescent="0.25">
      <c r="B611">
        <v>2118</v>
      </c>
      <c r="C611" t="s">
        <v>1117</v>
      </c>
      <c r="D611" t="s">
        <v>828</v>
      </c>
      <c r="E611" s="30">
        <v>29</v>
      </c>
      <c r="F611" t="s">
        <v>849</v>
      </c>
      <c r="G611" t="s">
        <v>838</v>
      </c>
      <c r="I611" t="e">
        <f>+_xlfn.XLOOKUP(B611,ajus!$B$2:$B$420,ajus!$C$2:$C$420)</f>
        <v>#N/A</v>
      </c>
    </row>
    <row r="612" spans="2:9" hidden="1" x14ac:dyDescent="0.25">
      <c r="B612">
        <v>2119</v>
      </c>
      <c r="C612" t="s">
        <v>1118</v>
      </c>
      <c r="D612" t="s">
        <v>828</v>
      </c>
      <c r="E612" s="30">
        <v>29</v>
      </c>
      <c r="F612" t="s">
        <v>849</v>
      </c>
      <c r="G612" t="s">
        <v>838</v>
      </c>
      <c r="I612" t="e">
        <f>+_xlfn.XLOOKUP(B612,ajus!$B$2:$B$420,ajus!$C$2:$C$420)</f>
        <v>#N/A</v>
      </c>
    </row>
    <row r="613" spans="2:9" hidden="1" x14ac:dyDescent="0.25">
      <c r="B613">
        <v>2120</v>
      </c>
      <c r="C613" t="s">
        <v>1119</v>
      </c>
      <c r="D613" t="s">
        <v>828</v>
      </c>
      <c r="E613" s="30">
        <v>29</v>
      </c>
      <c r="F613" t="s">
        <v>849</v>
      </c>
      <c r="G613" t="s">
        <v>838</v>
      </c>
      <c r="I613" t="e">
        <f>+_xlfn.XLOOKUP(B613,ajus!$B$2:$B$420,ajus!$C$2:$C$420)</f>
        <v>#N/A</v>
      </c>
    </row>
    <row r="614" spans="2:9" hidden="1" x14ac:dyDescent="0.25">
      <c r="B614">
        <v>2121</v>
      </c>
      <c r="C614" t="s">
        <v>1120</v>
      </c>
      <c r="D614" t="s">
        <v>828</v>
      </c>
      <c r="E614" s="30">
        <v>29</v>
      </c>
      <c r="F614" t="s">
        <v>849</v>
      </c>
      <c r="G614" t="s">
        <v>838</v>
      </c>
      <c r="I614" t="e">
        <f>+_xlfn.XLOOKUP(B614,ajus!$B$2:$B$420,ajus!$C$2:$C$420)</f>
        <v>#N/A</v>
      </c>
    </row>
    <row r="615" spans="2:9" hidden="1" x14ac:dyDescent="0.25">
      <c r="B615">
        <v>2122</v>
      </c>
      <c r="C615" t="s">
        <v>1121</v>
      </c>
      <c r="D615" t="s">
        <v>828</v>
      </c>
      <c r="E615" s="30">
        <v>29</v>
      </c>
      <c r="F615" t="s">
        <v>846</v>
      </c>
      <c r="G615" t="s">
        <v>838</v>
      </c>
      <c r="I615" t="e">
        <f>+_xlfn.XLOOKUP(B615,ajus!$B$2:$B$420,ajus!$C$2:$C$420)</f>
        <v>#N/A</v>
      </c>
    </row>
    <row r="616" spans="2:9" hidden="1" x14ac:dyDescent="0.25">
      <c r="B616">
        <v>2123</v>
      </c>
      <c r="C616" t="s">
        <v>1122</v>
      </c>
      <c r="D616" t="s">
        <v>828</v>
      </c>
      <c r="E616" s="30">
        <v>29</v>
      </c>
      <c r="F616" t="s">
        <v>846</v>
      </c>
      <c r="G616" t="s">
        <v>838</v>
      </c>
      <c r="I616" t="e">
        <f>+_xlfn.XLOOKUP(B616,ajus!$B$2:$B$420,ajus!$C$2:$C$420)</f>
        <v>#N/A</v>
      </c>
    </row>
    <row r="617" spans="2:9" hidden="1" x14ac:dyDescent="0.25">
      <c r="B617">
        <v>2124</v>
      </c>
      <c r="C617" t="s">
        <v>1123</v>
      </c>
      <c r="D617" t="s">
        <v>834</v>
      </c>
      <c r="E617" s="30">
        <v>30</v>
      </c>
      <c r="F617" t="s">
        <v>837</v>
      </c>
      <c r="G617" t="s">
        <v>838</v>
      </c>
      <c r="I617" t="e">
        <f>+_xlfn.XLOOKUP(B617,ajus!$B$2:$B$420,ajus!$C$2:$C$420)</f>
        <v>#N/A</v>
      </c>
    </row>
    <row r="618" spans="2:9" hidden="1" x14ac:dyDescent="0.25">
      <c r="B618">
        <v>2125</v>
      </c>
      <c r="C618" t="s">
        <v>1124</v>
      </c>
      <c r="D618" t="s">
        <v>834</v>
      </c>
      <c r="E618" s="30">
        <v>30</v>
      </c>
      <c r="F618" t="s">
        <v>837</v>
      </c>
      <c r="I618" t="e">
        <f>+_xlfn.XLOOKUP(B618,ajus!$B$2:$B$420,ajus!$C$2:$C$420)</f>
        <v>#N/A</v>
      </c>
    </row>
    <row r="619" spans="2:9" hidden="1" x14ac:dyDescent="0.25">
      <c r="B619">
        <v>2126</v>
      </c>
      <c r="C619" t="s">
        <v>1125</v>
      </c>
      <c r="D619" t="s">
        <v>834</v>
      </c>
      <c r="E619" s="30">
        <v>30</v>
      </c>
      <c r="F619" t="s">
        <v>837</v>
      </c>
      <c r="G619" t="s">
        <v>838</v>
      </c>
      <c r="I619" t="e">
        <f>+_xlfn.XLOOKUP(B619,ajus!$B$2:$B$420,ajus!$C$2:$C$420)</f>
        <v>#N/A</v>
      </c>
    </row>
    <row r="620" spans="2:9" hidden="1" x14ac:dyDescent="0.25">
      <c r="B620">
        <v>2127</v>
      </c>
      <c r="C620" t="s">
        <v>1126</v>
      </c>
      <c r="D620" t="s">
        <v>828</v>
      </c>
      <c r="E620" s="30">
        <v>30</v>
      </c>
      <c r="F620" t="s">
        <v>837</v>
      </c>
      <c r="G620" t="s">
        <v>838</v>
      </c>
      <c r="I620" t="e">
        <f>+_xlfn.XLOOKUP(B620,ajus!$B$2:$B$420,ajus!$C$2:$C$420)</f>
        <v>#N/A</v>
      </c>
    </row>
    <row r="621" spans="2:9" hidden="1" x14ac:dyDescent="0.25">
      <c r="B621">
        <v>2128</v>
      </c>
      <c r="C621" t="s">
        <v>1127</v>
      </c>
      <c r="D621" t="s">
        <v>828</v>
      </c>
      <c r="E621" s="30">
        <v>30</v>
      </c>
      <c r="F621" t="s">
        <v>837</v>
      </c>
      <c r="G621" t="s">
        <v>830</v>
      </c>
      <c r="I621" t="e">
        <f>+_xlfn.XLOOKUP(B621,ajus!$B$2:$B$420,ajus!$C$2:$C$420)</f>
        <v>#N/A</v>
      </c>
    </row>
    <row r="622" spans="2:9" hidden="1" x14ac:dyDescent="0.25">
      <c r="B622">
        <v>2129</v>
      </c>
      <c r="C622" t="s">
        <v>1128</v>
      </c>
      <c r="D622" t="s">
        <v>828</v>
      </c>
      <c r="E622" s="30">
        <v>30</v>
      </c>
      <c r="F622" t="s">
        <v>837</v>
      </c>
      <c r="G622" t="s">
        <v>832</v>
      </c>
      <c r="I622" t="e">
        <f>+_xlfn.XLOOKUP(B622,ajus!$B$2:$B$420,ajus!$C$2:$C$420)</f>
        <v>#N/A</v>
      </c>
    </row>
    <row r="623" spans="2:9" hidden="1" x14ac:dyDescent="0.25">
      <c r="B623">
        <v>2130</v>
      </c>
      <c r="C623" t="s">
        <v>1129</v>
      </c>
      <c r="D623" t="s">
        <v>834</v>
      </c>
      <c r="E623" s="30">
        <v>31</v>
      </c>
      <c r="F623" t="s">
        <v>846</v>
      </c>
      <c r="G623" t="s">
        <v>838</v>
      </c>
      <c r="I623" t="e">
        <f>+_xlfn.XLOOKUP(B623,ajus!$B$2:$B$420,ajus!$C$2:$C$420)</f>
        <v>#N/A</v>
      </c>
    </row>
    <row r="624" spans="2:9" hidden="1" x14ac:dyDescent="0.25">
      <c r="B624">
        <v>2131</v>
      </c>
      <c r="C624" t="s">
        <v>1130</v>
      </c>
      <c r="D624" t="s">
        <v>834</v>
      </c>
      <c r="E624" s="30">
        <v>31</v>
      </c>
      <c r="F624" t="s">
        <v>858</v>
      </c>
      <c r="G624" t="s">
        <v>1131</v>
      </c>
      <c r="I624" t="e">
        <f>+_xlfn.XLOOKUP(B624,ajus!$B$2:$B$420,ajus!$C$2:$C$420)</f>
        <v>#N/A</v>
      </c>
    </row>
    <row r="625" spans="2:9" hidden="1" x14ac:dyDescent="0.25">
      <c r="B625">
        <v>2132</v>
      </c>
      <c r="C625" t="s">
        <v>1132</v>
      </c>
      <c r="D625" t="s">
        <v>834</v>
      </c>
      <c r="E625" s="30">
        <v>31</v>
      </c>
      <c r="F625" t="s">
        <v>858</v>
      </c>
      <c r="I625" t="e">
        <f>+_xlfn.XLOOKUP(B625,ajus!$B$2:$B$420,ajus!$C$2:$C$420)</f>
        <v>#N/A</v>
      </c>
    </row>
    <row r="626" spans="2:9" hidden="1" x14ac:dyDescent="0.25">
      <c r="B626">
        <v>2133</v>
      </c>
      <c r="C626" t="s">
        <v>1133</v>
      </c>
      <c r="D626" t="s">
        <v>834</v>
      </c>
      <c r="E626" s="30">
        <v>31</v>
      </c>
      <c r="F626" t="s">
        <v>858</v>
      </c>
      <c r="I626" t="e">
        <f>+_xlfn.XLOOKUP(B626,ajus!$B$2:$B$420,ajus!$C$2:$C$420)</f>
        <v>#N/A</v>
      </c>
    </row>
    <row r="627" spans="2:9" hidden="1" x14ac:dyDescent="0.25">
      <c r="B627">
        <v>2135</v>
      </c>
      <c r="C627" t="s">
        <v>1134</v>
      </c>
      <c r="D627" t="s">
        <v>834</v>
      </c>
      <c r="E627" s="30">
        <v>32</v>
      </c>
      <c r="F627" t="s">
        <v>831</v>
      </c>
      <c r="G627" t="s">
        <v>838</v>
      </c>
      <c r="I627" t="e">
        <f>+_xlfn.XLOOKUP(B627,ajus!$B$2:$B$420,ajus!$C$2:$C$420)</f>
        <v>#N/A</v>
      </c>
    </row>
    <row r="628" spans="2:9" hidden="1" x14ac:dyDescent="0.25">
      <c r="B628">
        <v>2137</v>
      </c>
      <c r="C628" t="s">
        <v>1135</v>
      </c>
      <c r="D628" t="s">
        <v>828</v>
      </c>
      <c r="E628" s="30">
        <v>32</v>
      </c>
      <c r="F628" t="s">
        <v>831</v>
      </c>
      <c r="G628" t="s">
        <v>838</v>
      </c>
      <c r="I628" t="e">
        <f>+_xlfn.XLOOKUP(B628,ajus!$B$2:$B$420,ajus!$C$2:$C$420)</f>
        <v>#N/A</v>
      </c>
    </row>
    <row r="629" spans="2:9" hidden="1" x14ac:dyDescent="0.25">
      <c r="B629">
        <v>2138</v>
      </c>
      <c r="C629" t="s">
        <v>1136</v>
      </c>
      <c r="D629" t="s">
        <v>828</v>
      </c>
      <c r="E629" s="30">
        <v>32</v>
      </c>
      <c r="F629" t="s">
        <v>831</v>
      </c>
      <c r="I629" t="e">
        <f>+_xlfn.XLOOKUP(B629,ajus!$B$2:$B$420,ajus!$C$2:$C$420)</f>
        <v>#N/A</v>
      </c>
    </row>
    <row r="630" spans="2:9" hidden="1" x14ac:dyDescent="0.25">
      <c r="B630">
        <v>2139</v>
      </c>
      <c r="C630" t="s">
        <v>1137</v>
      </c>
      <c r="D630" t="s">
        <v>828</v>
      </c>
      <c r="E630" s="30">
        <v>32</v>
      </c>
      <c r="F630" t="s">
        <v>831</v>
      </c>
      <c r="G630" t="s">
        <v>852</v>
      </c>
      <c r="I630" t="e">
        <f>+_xlfn.XLOOKUP(B630,ajus!$B$2:$B$420,ajus!$C$2:$C$420)</f>
        <v>#N/A</v>
      </c>
    </row>
    <row r="631" spans="2:9" hidden="1" x14ac:dyDescent="0.25">
      <c r="B631">
        <v>2140</v>
      </c>
      <c r="C631" t="s">
        <v>1138</v>
      </c>
      <c r="D631" t="s">
        <v>834</v>
      </c>
      <c r="E631" s="30">
        <v>32</v>
      </c>
      <c r="F631" t="s">
        <v>837</v>
      </c>
      <c r="G631" t="s">
        <v>838</v>
      </c>
      <c r="I631" t="e">
        <f>+_xlfn.XLOOKUP(B631,ajus!$B$2:$B$420,ajus!$C$2:$C$420)</f>
        <v>#N/A</v>
      </c>
    </row>
    <row r="632" spans="2:9" hidden="1" x14ac:dyDescent="0.25">
      <c r="B632">
        <v>2141</v>
      </c>
      <c r="C632" t="s">
        <v>1139</v>
      </c>
      <c r="D632" t="s">
        <v>834</v>
      </c>
      <c r="E632" s="30">
        <v>32</v>
      </c>
      <c r="F632" t="s">
        <v>846</v>
      </c>
      <c r="I632" t="e">
        <f>+_xlfn.XLOOKUP(B632,ajus!$B$2:$B$420,ajus!$C$2:$C$420)</f>
        <v>#N/A</v>
      </c>
    </row>
    <row r="633" spans="2:9" hidden="1" x14ac:dyDescent="0.25">
      <c r="B633">
        <v>2142</v>
      </c>
      <c r="C633" t="s">
        <v>1140</v>
      </c>
      <c r="D633" t="s">
        <v>828</v>
      </c>
      <c r="E633" s="30">
        <v>32</v>
      </c>
      <c r="F633" t="s">
        <v>831</v>
      </c>
      <c r="G633" t="s">
        <v>838</v>
      </c>
      <c r="I633" t="e">
        <f>+_xlfn.XLOOKUP(B633,ajus!$B$2:$B$420,ajus!$C$2:$C$420)</f>
        <v>#N/A</v>
      </c>
    </row>
    <row r="634" spans="2:9" hidden="1" x14ac:dyDescent="0.25">
      <c r="B634">
        <v>2144</v>
      </c>
      <c r="C634" t="s">
        <v>1141</v>
      </c>
      <c r="D634" t="s">
        <v>834</v>
      </c>
      <c r="E634" s="30">
        <v>33</v>
      </c>
      <c r="F634" t="s">
        <v>831</v>
      </c>
      <c r="G634" t="s">
        <v>838</v>
      </c>
      <c r="I634" t="e">
        <f>+_xlfn.XLOOKUP(B634,ajus!$B$2:$B$420,ajus!$C$2:$C$420)</f>
        <v>#N/A</v>
      </c>
    </row>
    <row r="635" spans="2:9" hidden="1" x14ac:dyDescent="0.25">
      <c r="B635">
        <v>2145</v>
      </c>
      <c r="C635" t="s">
        <v>1142</v>
      </c>
      <c r="D635" t="s">
        <v>834</v>
      </c>
      <c r="E635" s="30">
        <v>33</v>
      </c>
      <c r="F635" t="s">
        <v>831</v>
      </c>
      <c r="G635" t="s">
        <v>838</v>
      </c>
      <c r="I635" t="e">
        <f>+_xlfn.XLOOKUP(B635,ajus!$B$2:$B$420,ajus!$C$2:$C$420)</f>
        <v>#N/A</v>
      </c>
    </row>
    <row r="636" spans="2:9" hidden="1" x14ac:dyDescent="0.25">
      <c r="B636">
        <v>2146</v>
      </c>
      <c r="C636" t="s">
        <v>1143</v>
      </c>
      <c r="D636" t="s">
        <v>834</v>
      </c>
      <c r="E636" s="30">
        <v>33</v>
      </c>
      <c r="F636" t="s">
        <v>831</v>
      </c>
      <c r="G636" t="s">
        <v>838</v>
      </c>
      <c r="I636" t="e">
        <f>+_xlfn.XLOOKUP(B636,ajus!$B$2:$B$420,ajus!$C$2:$C$420)</f>
        <v>#N/A</v>
      </c>
    </row>
    <row r="637" spans="2:9" hidden="1" x14ac:dyDescent="0.25">
      <c r="B637">
        <v>2147</v>
      </c>
      <c r="C637" t="s">
        <v>1144</v>
      </c>
      <c r="D637" t="s">
        <v>834</v>
      </c>
      <c r="E637" s="30">
        <v>33</v>
      </c>
      <c r="F637" t="s">
        <v>831</v>
      </c>
      <c r="I637" t="e">
        <f>+_xlfn.XLOOKUP(B637,ajus!$B$2:$B$420,ajus!$C$2:$C$420)</f>
        <v>#N/A</v>
      </c>
    </row>
    <row r="638" spans="2:9" hidden="1" x14ac:dyDescent="0.25">
      <c r="B638">
        <v>2148</v>
      </c>
      <c r="C638" t="s">
        <v>792</v>
      </c>
      <c r="D638" t="s">
        <v>828</v>
      </c>
      <c r="E638" s="30">
        <v>34</v>
      </c>
      <c r="F638" t="s">
        <v>837</v>
      </c>
      <c r="G638" t="s">
        <v>838</v>
      </c>
      <c r="I638" t="str">
        <f>+_xlfn.XLOOKUP(B638,ajus!$B$2:$B$420,ajus!$C$2:$C$420)</f>
        <v>CAMPO ALEGRE [1111500203;AO 01;AUTOPISTAS AL MAR 2]</v>
      </c>
    </row>
    <row r="639" spans="2:9" hidden="1" x14ac:dyDescent="0.25">
      <c r="B639">
        <v>2149</v>
      </c>
      <c r="C639" t="s">
        <v>1145</v>
      </c>
      <c r="D639" t="s">
        <v>828</v>
      </c>
      <c r="E639" s="30">
        <v>0</v>
      </c>
      <c r="F639" t="s">
        <v>846</v>
      </c>
      <c r="G639" t="s">
        <v>832</v>
      </c>
      <c r="I639" t="e">
        <f>+_xlfn.XLOOKUP(B639,ajus!$B$2:$B$420,ajus!$C$2:$C$420)</f>
        <v>#N/A</v>
      </c>
    </row>
    <row r="640" spans="2:9" hidden="1" x14ac:dyDescent="0.25">
      <c r="B640">
        <v>2150</v>
      </c>
      <c r="C640" t="s">
        <v>1146</v>
      </c>
      <c r="D640" t="s">
        <v>828</v>
      </c>
      <c r="E640" s="30">
        <v>32</v>
      </c>
      <c r="F640" t="s">
        <v>831</v>
      </c>
      <c r="G640" t="s">
        <v>838</v>
      </c>
      <c r="I640" t="e">
        <f>+_xlfn.XLOOKUP(B640,ajus!$B$2:$B$420,ajus!$C$2:$C$420)</f>
        <v>#N/A</v>
      </c>
    </row>
    <row r="641" spans="2:9" hidden="1" x14ac:dyDescent="0.25">
      <c r="B641">
        <v>2151</v>
      </c>
      <c r="C641" t="s">
        <v>1147</v>
      </c>
      <c r="D641" t="s">
        <v>828</v>
      </c>
      <c r="E641" s="30">
        <v>35</v>
      </c>
      <c r="F641" t="s">
        <v>1148</v>
      </c>
      <c r="G641" t="s">
        <v>832</v>
      </c>
      <c r="I641" t="e">
        <f>+_xlfn.XLOOKUP(B641,ajus!$B$2:$B$420,ajus!$C$2:$C$420)</f>
        <v>#N/A</v>
      </c>
    </row>
    <row r="642" spans="2:9" hidden="1" x14ac:dyDescent="0.25">
      <c r="B642">
        <v>2152</v>
      </c>
      <c r="C642" t="s">
        <v>1149</v>
      </c>
      <c r="D642" t="s">
        <v>834</v>
      </c>
      <c r="E642" s="30">
        <v>41</v>
      </c>
      <c r="F642" t="s">
        <v>837</v>
      </c>
      <c r="G642" t="s">
        <v>1150</v>
      </c>
      <c r="I642" t="e">
        <f>+_xlfn.XLOOKUP(B642,ajus!$B$2:$B$420,ajus!$C$2:$C$420)</f>
        <v>#N/A</v>
      </c>
    </row>
    <row r="643" spans="2:9" hidden="1" x14ac:dyDescent="0.25">
      <c r="B643">
        <v>2153</v>
      </c>
      <c r="C643" t="s">
        <v>1151</v>
      </c>
      <c r="D643" t="s">
        <v>828</v>
      </c>
      <c r="E643" s="30">
        <v>41</v>
      </c>
      <c r="F643" t="s">
        <v>837</v>
      </c>
      <c r="G643" t="s">
        <v>838</v>
      </c>
      <c r="I643" t="e">
        <f>+_xlfn.XLOOKUP(B643,ajus!$B$2:$B$420,ajus!$C$2:$C$420)</f>
        <v>#N/A</v>
      </c>
    </row>
    <row r="644" spans="2:9" hidden="1" x14ac:dyDescent="0.25">
      <c r="B644">
        <v>2155</v>
      </c>
      <c r="C644" t="s">
        <v>1152</v>
      </c>
      <c r="D644" t="s">
        <v>828</v>
      </c>
      <c r="E644" s="30">
        <v>41</v>
      </c>
      <c r="F644" t="s">
        <v>837</v>
      </c>
      <c r="G644" t="s">
        <v>838</v>
      </c>
      <c r="I644" t="e">
        <f>+_xlfn.XLOOKUP(B644,ajus!$B$2:$B$420,ajus!$C$2:$C$420)</f>
        <v>#N/A</v>
      </c>
    </row>
    <row r="645" spans="2:9" hidden="1" x14ac:dyDescent="0.25">
      <c r="B645">
        <v>2156</v>
      </c>
      <c r="C645" t="s">
        <v>1153</v>
      </c>
      <c r="D645" t="s">
        <v>828</v>
      </c>
      <c r="E645" s="30">
        <v>37</v>
      </c>
      <c r="F645" t="s">
        <v>844</v>
      </c>
      <c r="G645" t="s">
        <v>852</v>
      </c>
      <c r="I645" t="e">
        <f>+_xlfn.XLOOKUP(B645,ajus!$B$2:$B$420,ajus!$C$2:$C$420)</f>
        <v>#N/A</v>
      </c>
    </row>
    <row r="646" spans="2:9" hidden="1" x14ac:dyDescent="0.25">
      <c r="B646">
        <v>2157</v>
      </c>
      <c r="C646" t="s">
        <v>1154</v>
      </c>
      <c r="D646" t="s">
        <v>828</v>
      </c>
      <c r="E646" s="30">
        <v>38</v>
      </c>
      <c r="F646" t="s">
        <v>837</v>
      </c>
      <c r="G646" t="s">
        <v>838</v>
      </c>
      <c r="I646" t="e">
        <f>+_xlfn.XLOOKUP(B646,ajus!$B$2:$B$420,ajus!$C$2:$C$420)</f>
        <v>#N/A</v>
      </c>
    </row>
    <row r="647" spans="2:9" hidden="1" x14ac:dyDescent="0.25">
      <c r="B647">
        <v>2158</v>
      </c>
      <c r="C647" t="s">
        <v>1155</v>
      </c>
      <c r="D647" t="s">
        <v>828</v>
      </c>
      <c r="E647" s="30">
        <v>38</v>
      </c>
      <c r="F647" t="s">
        <v>837</v>
      </c>
      <c r="G647" t="s">
        <v>832</v>
      </c>
      <c r="I647" t="e">
        <f>+_xlfn.XLOOKUP(B647,ajus!$B$2:$B$420,ajus!$C$2:$C$420)</f>
        <v>#N/A</v>
      </c>
    </row>
    <row r="648" spans="2:9" hidden="1" x14ac:dyDescent="0.25">
      <c r="B648">
        <v>2159</v>
      </c>
      <c r="C648" t="s">
        <v>1156</v>
      </c>
      <c r="D648" t="s">
        <v>828</v>
      </c>
      <c r="E648" s="30">
        <v>38</v>
      </c>
      <c r="F648" t="s">
        <v>837</v>
      </c>
      <c r="G648" t="s">
        <v>852</v>
      </c>
      <c r="I648" t="e">
        <f>+_xlfn.XLOOKUP(B648,ajus!$B$2:$B$420,ajus!$C$2:$C$420)</f>
        <v>#N/A</v>
      </c>
    </row>
    <row r="649" spans="2:9" hidden="1" x14ac:dyDescent="0.25">
      <c r="B649">
        <v>2160</v>
      </c>
      <c r="C649" t="s">
        <v>1157</v>
      </c>
      <c r="D649" t="s">
        <v>828</v>
      </c>
      <c r="E649" s="30">
        <v>38</v>
      </c>
      <c r="F649" t="s">
        <v>837</v>
      </c>
      <c r="G649" t="s">
        <v>838</v>
      </c>
      <c r="I649" t="e">
        <f>+_xlfn.XLOOKUP(B649,ajus!$B$2:$B$420,ajus!$C$2:$C$420)</f>
        <v>#N/A</v>
      </c>
    </row>
    <row r="650" spans="2:9" hidden="1" x14ac:dyDescent="0.25">
      <c r="B650">
        <v>2161</v>
      </c>
      <c r="C650" t="s">
        <v>1158</v>
      </c>
      <c r="D650" t="s">
        <v>828</v>
      </c>
      <c r="E650" s="30">
        <v>38</v>
      </c>
      <c r="F650" t="s">
        <v>836</v>
      </c>
      <c r="G650" t="s">
        <v>852</v>
      </c>
      <c r="I650" t="e">
        <f>+_xlfn.XLOOKUP(B650,ajus!$B$2:$B$420,ajus!$C$2:$C$420)</f>
        <v>#N/A</v>
      </c>
    </row>
    <row r="651" spans="2:9" hidden="1" x14ac:dyDescent="0.25">
      <c r="B651">
        <v>2162</v>
      </c>
      <c r="C651" t="s">
        <v>1159</v>
      </c>
      <c r="D651" t="s">
        <v>828</v>
      </c>
      <c r="E651" s="30">
        <v>38</v>
      </c>
      <c r="F651" t="s">
        <v>836</v>
      </c>
      <c r="I651" t="e">
        <f>+_xlfn.XLOOKUP(B651,ajus!$B$2:$B$420,ajus!$C$2:$C$420)</f>
        <v>#N/A</v>
      </c>
    </row>
    <row r="652" spans="2:9" hidden="1" x14ac:dyDescent="0.25">
      <c r="B652">
        <v>2163</v>
      </c>
      <c r="C652" t="s">
        <v>1160</v>
      </c>
      <c r="D652" t="s">
        <v>828</v>
      </c>
      <c r="E652" s="30">
        <v>38</v>
      </c>
      <c r="F652" t="s">
        <v>836</v>
      </c>
      <c r="G652" t="s">
        <v>838</v>
      </c>
      <c r="I652" t="e">
        <f>+_xlfn.XLOOKUP(B652,ajus!$B$2:$B$420,ajus!$C$2:$C$420)</f>
        <v>#N/A</v>
      </c>
    </row>
    <row r="653" spans="2:9" hidden="1" x14ac:dyDescent="0.25">
      <c r="B653">
        <v>2164</v>
      </c>
      <c r="C653" t="s">
        <v>1161</v>
      </c>
      <c r="D653" t="s">
        <v>828</v>
      </c>
      <c r="E653" s="30">
        <v>38</v>
      </c>
      <c r="F653" t="s">
        <v>839</v>
      </c>
      <c r="G653" t="s">
        <v>838</v>
      </c>
      <c r="I653" t="e">
        <f>+_xlfn.XLOOKUP(B653,ajus!$B$2:$B$420,ajus!$C$2:$C$420)</f>
        <v>#N/A</v>
      </c>
    </row>
    <row r="654" spans="2:9" hidden="1" x14ac:dyDescent="0.25">
      <c r="B654">
        <v>2165</v>
      </c>
      <c r="C654" t="s">
        <v>1162</v>
      </c>
      <c r="D654" t="s">
        <v>828</v>
      </c>
      <c r="E654" s="30">
        <v>38</v>
      </c>
      <c r="F654" t="s">
        <v>839</v>
      </c>
      <c r="G654" t="s">
        <v>838</v>
      </c>
      <c r="I654" t="e">
        <f>+_xlfn.XLOOKUP(B654,ajus!$B$2:$B$420,ajus!$C$2:$C$420)</f>
        <v>#N/A</v>
      </c>
    </row>
    <row r="655" spans="2:9" hidden="1" x14ac:dyDescent="0.25">
      <c r="B655">
        <v>2167</v>
      </c>
      <c r="C655" t="s">
        <v>1163</v>
      </c>
      <c r="D655" t="s">
        <v>828</v>
      </c>
      <c r="E655" s="30">
        <v>38</v>
      </c>
      <c r="F655" t="s">
        <v>849</v>
      </c>
      <c r="G655" t="s">
        <v>838</v>
      </c>
      <c r="I655" t="e">
        <f>+_xlfn.XLOOKUP(B655,ajus!$B$2:$B$420,ajus!$C$2:$C$420)</f>
        <v>#N/A</v>
      </c>
    </row>
    <row r="656" spans="2:9" hidden="1" x14ac:dyDescent="0.25">
      <c r="B656">
        <v>2168</v>
      </c>
      <c r="C656" t="s">
        <v>1164</v>
      </c>
      <c r="D656" t="s">
        <v>828</v>
      </c>
      <c r="E656" s="30">
        <v>38</v>
      </c>
      <c r="F656" t="s">
        <v>846</v>
      </c>
      <c r="G656" t="s">
        <v>838</v>
      </c>
      <c r="I656" t="e">
        <f>+_xlfn.XLOOKUP(B656,ajus!$B$2:$B$420,ajus!$C$2:$C$420)</f>
        <v>#N/A</v>
      </c>
    </row>
    <row r="657" spans="2:9" hidden="1" x14ac:dyDescent="0.25">
      <c r="B657">
        <v>2169</v>
      </c>
      <c r="C657" t="s">
        <v>1165</v>
      </c>
      <c r="D657" t="s">
        <v>828</v>
      </c>
      <c r="E657" s="30">
        <v>38</v>
      </c>
      <c r="F657" t="s">
        <v>837</v>
      </c>
      <c r="G657" t="s">
        <v>838</v>
      </c>
      <c r="I657" t="e">
        <f>+_xlfn.XLOOKUP(B657,ajus!$B$2:$B$420,ajus!$C$2:$C$420)</f>
        <v>#N/A</v>
      </c>
    </row>
    <row r="658" spans="2:9" hidden="1" x14ac:dyDescent="0.25">
      <c r="B658">
        <v>2170</v>
      </c>
      <c r="C658" t="s">
        <v>1166</v>
      </c>
      <c r="D658" t="s">
        <v>828</v>
      </c>
      <c r="E658" s="30">
        <v>38</v>
      </c>
      <c r="F658" t="s">
        <v>846</v>
      </c>
      <c r="G658" t="s">
        <v>838</v>
      </c>
      <c r="I658" t="e">
        <f>+_xlfn.XLOOKUP(B658,ajus!$B$2:$B$420,ajus!$C$2:$C$420)</f>
        <v>#N/A</v>
      </c>
    </row>
    <row r="659" spans="2:9" hidden="1" x14ac:dyDescent="0.25">
      <c r="B659">
        <v>2171</v>
      </c>
      <c r="C659" t="s">
        <v>1167</v>
      </c>
      <c r="D659" t="s">
        <v>828</v>
      </c>
      <c r="E659" s="30">
        <v>38</v>
      </c>
      <c r="F659" t="s">
        <v>846</v>
      </c>
      <c r="I659" t="e">
        <f>+_xlfn.XLOOKUP(B659,ajus!$B$2:$B$420,ajus!$C$2:$C$420)</f>
        <v>#N/A</v>
      </c>
    </row>
    <row r="660" spans="2:9" hidden="1" x14ac:dyDescent="0.25">
      <c r="B660">
        <v>2172</v>
      </c>
      <c r="C660" t="s">
        <v>1168</v>
      </c>
      <c r="D660" t="s">
        <v>834</v>
      </c>
      <c r="E660" s="30">
        <v>38</v>
      </c>
      <c r="F660" t="s">
        <v>836</v>
      </c>
      <c r="I660" t="e">
        <f>+_xlfn.XLOOKUP(B660,ajus!$B$2:$B$420,ajus!$C$2:$C$420)</f>
        <v>#N/A</v>
      </c>
    </row>
    <row r="661" spans="2:9" hidden="1" x14ac:dyDescent="0.25">
      <c r="B661">
        <v>2173</v>
      </c>
      <c r="C661" t="s">
        <v>1169</v>
      </c>
      <c r="D661" t="s">
        <v>834</v>
      </c>
      <c r="E661" s="30">
        <v>38</v>
      </c>
      <c r="F661" t="s">
        <v>836</v>
      </c>
      <c r="G661" t="s">
        <v>852</v>
      </c>
      <c r="I661" t="e">
        <f>+_xlfn.XLOOKUP(B661,ajus!$B$2:$B$420,ajus!$C$2:$C$420)</f>
        <v>#N/A</v>
      </c>
    </row>
    <row r="662" spans="2:9" hidden="1" x14ac:dyDescent="0.25">
      <c r="B662">
        <v>2174</v>
      </c>
      <c r="C662" t="s">
        <v>1170</v>
      </c>
      <c r="D662" t="s">
        <v>834</v>
      </c>
      <c r="E662" s="30">
        <v>38</v>
      </c>
      <c r="F662" t="s">
        <v>849</v>
      </c>
      <c r="G662" t="s">
        <v>852</v>
      </c>
      <c r="I662" t="e">
        <f>+_xlfn.XLOOKUP(B662,ajus!$B$2:$B$420,ajus!$C$2:$C$420)</f>
        <v>#N/A</v>
      </c>
    </row>
    <row r="663" spans="2:9" hidden="1" x14ac:dyDescent="0.25">
      <c r="B663">
        <v>2175</v>
      </c>
      <c r="C663" t="s">
        <v>1171</v>
      </c>
      <c r="D663" t="s">
        <v>834</v>
      </c>
      <c r="E663" s="30">
        <v>38</v>
      </c>
      <c r="F663" t="s">
        <v>849</v>
      </c>
      <c r="G663" t="s">
        <v>852</v>
      </c>
      <c r="I663" t="e">
        <f>+_xlfn.XLOOKUP(B663,ajus!$B$2:$B$420,ajus!$C$2:$C$420)</f>
        <v>#N/A</v>
      </c>
    </row>
    <row r="664" spans="2:9" hidden="1" x14ac:dyDescent="0.25">
      <c r="B664">
        <v>2176</v>
      </c>
      <c r="C664" t="s">
        <v>1172</v>
      </c>
      <c r="D664" t="s">
        <v>828</v>
      </c>
      <c r="E664" s="30">
        <v>38</v>
      </c>
      <c r="F664" t="s">
        <v>839</v>
      </c>
      <c r="I664" t="e">
        <f>+_xlfn.XLOOKUP(B664,ajus!$B$2:$B$420,ajus!$C$2:$C$420)</f>
        <v>#N/A</v>
      </c>
    </row>
    <row r="665" spans="2:9" hidden="1" x14ac:dyDescent="0.25">
      <c r="B665">
        <v>2177</v>
      </c>
      <c r="C665" t="s">
        <v>1173</v>
      </c>
      <c r="D665" t="s">
        <v>828</v>
      </c>
      <c r="E665" s="30">
        <v>38</v>
      </c>
      <c r="F665" t="s">
        <v>839</v>
      </c>
      <c r="G665" t="s">
        <v>838</v>
      </c>
      <c r="I665" t="e">
        <f>+_xlfn.XLOOKUP(B665,ajus!$B$2:$B$420,ajus!$C$2:$C$420)</f>
        <v>#N/A</v>
      </c>
    </row>
    <row r="666" spans="2:9" hidden="1" x14ac:dyDescent="0.25">
      <c r="B666">
        <v>2178</v>
      </c>
      <c r="C666" t="s">
        <v>1174</v>
      </c>
      <c r="D666" t="s">
        <v>828</v>
      </c>
      <c r="E666" s="30">
        <v>38</v>
      </c>
      <c r="F666" t="s">
        <v>839</v>
      </c>
      <c r="G666" t="s">
        <v>838</v>
      </c>
      <c r="I666" t="e">
        <f>+_xlfn.XLOOKUP(B666,ajus!$B$2:$B$420,ajus!$C$2:$C$420)</f>
        <v>#N/A</v>
      </c>
    </row>
    <row r="667" spans="2:9" hidden="1" x14ac:dyDescent="0.25">
      <c r="B667">
        <v>2179</v>
      </c>
      <c r="C667" t="s">
        <v>1175</v>
      </c>
      <c r="D667" t="s">
        <v>828</v>
      </c>
      <c r="E667" s="30">
        <v>38</v>
      </c>
      <c r="F667" t="s">
        <v>831</v>
      </c>
      <c r="G667" t="s">
        <v>838</v>
      </c>
      <c r="I667" t="e">
        <f>+_xlfn.XLOOKUP(B667,ajus!$B$2:$B$420,ajus!$C$2:$C$420)</f>
        <v>#N/A</v>
      </c>
    </row>
    <row r="668" spans="2:9" hidden="1" x14ac:dyDescent="0.25">
      <c r="B668">
        <v>2180</v>
      </c>
      <c r="C668" t="s">
        <v>1176</v>
      </c>
      <c r="D668" t="s">
        <v>828</v>
      </c>
      <c r="E668" s="30">
        <v>38</v>
      </c>
      <c r="F668" t="s">
        <v>831</v>
      </c>
      <c r="G668" t="s">
        <v>838</v>
      </c>
      <c r="I668" t="e">
        <f>+_xlfn.XLOOKUP(B668,ajus!$B$2:$B$420,ajus!$C$2:$C$420)</f>
        <v>#N/A</v>
      </c>
    </row>
    <row r="669" spans="2:9" hidden="1" x14ac:dyDescent="0.25">
      <c r="B669">
        <v>2181</v>
      </c>
      <c r="C669" t="s">
        <v>1177</v>
      </c>
      <c r="D669" t="s">
        <v>828</v>
      </c>
      <c r="E669" s="30">
        <v>38</v>
      </c>
      <c r="F669" t="s">
        <v>846</v>
      </c>
      <c r="G669" t="s">
        <v>838</v>
      </c>
      <c r="I669" t="e">
        <f>+_xlfn.XLOOKUP(B669,ajus!$B$2:$B$420,ajus!$C$2:$C$420)</f>
        <v>#N/A</v>
      </c>
    </row>
    <row r="670" spans="2:9" hidden="1" x14ac:dyDescent="0.25">
      <c r="B670">
        <v>2182</v>
      </c>
      <c r="C670" t="s">
        <v>1178</v>
      </c>
      <c r="D670" t="s">
        <v>828</v>
      </c>
      <c r="E670" s="30">
        <v>38</v>
      </c>
      <c r="F670" t="s">
        <v>847</v>
      </c>
      <c r="G670" t="s">
        <v>852</v>
      </c>
      <c r="I670" t="e">
        <f>+_xlfn.XLOOKUP(B670,ajus!$B$2:$B$420,ajus!$C$2:$C$420)</f>
        <v>#N/A</v>
      </c>
    </row>
    <row r="671" spans="2:9" hidden="1" x14ac:dyDescent="0.25">
      <c r="B671">
        <v>2183</v>
      </c>
      <c r="C671" t="s">
        <v>1179</v>
      </c>
      <c r="D671" t="s">
        <v>828</v>
      </c>
      <c r="E671" s="30">
        <v>38</v>
      </c>
      <c r="F671" t="s">
        <v>847</v>
      </c>
      <c r="G671" t="s">
        <v>852</v>
      </c>
      <c r="I671" t="e">
        <f>+_xlfn.XLOOKUP(B671,ajus!$B$2:$B$420,ajus!$C$2:$C$420)</f>
        <v>#N/A</v>
      </c>
    </row>
    <row r="672" spans="2:9" hidden="1" x14ac:dyDescent="0.25">
      <c r="B672">
        <v>2184</v>
      </c>
      <c r="C672" t="s">
        <v>1180</v>
      </c>
      <c r="D672" t="s">
        <v>828</v>
      </c>
      <c r="E672" s="30">
        <v>38</v>
      </c>
      <c r="F672" t="s">
        <v>847</v>
      </c>
      <c r="G672" t="s">
        <v>852</v>
      </c>
      <c r="I672" t="e">
        <f>+_xlfn.XLOOKUP(B672,ajus!$B$2:$B$420,ajus!$C$2:$C$420)</f>
        <v>#N/A</v>
      </c>
    </row>
    <row r="673" spans="2:9" hidden="1" x14ac:dyDescent="0.25">
      <c r="B673">
        <v>2185</v>
      </c>
      <c r="C673" t="s">
        <v>1181</v>
      </c>
      <c r="D673" t="s">
        <v>834</v>
      </c>
      <c r="E673" s="30">
        <v>39</v>
      </c>
      <c r="F673" t="s">
        <v>837</v>
      </c>
      <c r="G673" t="s">
        <v>838</v>
      </c>
      <c r="I673" t="e">
        <f>+_xlfn.XLOOKUP(B673,ajus!$B$2:$B$420,ajus!$C$2:$C$420)</f>
        <v>#N/A</v>
      </c>
    </row>
    <row r="674" spans="2:9" hidden="1" x14ac:dyDescent="0.25">
      <c r="B674">
        <v>2186</v>
      </c>
      <c r="C674" t="s">
        <v>1182</v>
      </c>
      <c r="D674" t="s">
        <v>834</v>
      </c>
      <c r="E674" s="30">
        <v>39</v>
      </c>
      <c r="F674" t="s">
        <v>837</v>
      </c>
      <c r="G674" t="s">
        <v>838</v>
      </c>
      <c r="I674" t="e">
        <f>+_xlfn.XLOOKUP(B674,ajus!$B$2:$B$420,ajus!$C$2:$C$420)</f>
        <v>#N/A</v>
      </c>
    </row>
    <row r="675" spans="2:9" hidden="1" x14ac:dyDescent="0.25">
      <c r="B675">
        <v>2187</v>
      </c>
      <c r="C675" t="s">
        <v>1183</v>
      </c>
      <c r="D675" t="s">
        <v>828</v>
      </c>
      <c r="E675" s="30">
        <v>39</v>
      </c>
      <c r="F675" t="s">
        <v>837</v>
      </c>
      <c r="G675" t="s">
        <v>838</v>
      </c>
      <c r="I675" t="e">
        <f>+_xlfn.XLOOKUP(B675,ajus!$B$2:$B$420,ajus!$C$2:$C$420)</f>
        <v>#N/A</v>
      </c>
    </row>
    <row r="676" spans="2:9" hidden="1" x14ac:dyDescent="0.25">
      <c r="B676">
        <v>2188</v>
      </c>
      <c r="C676" t="s">
        <v>1184</v>
      </c>
      <c r="D676" t="s">
        <v>828</v>
      </c>
      <c r="E676" s="30">
        <v>39</v>
      </c>
      <c r="F676" t="s">
        <v>837</v>
      </c>
      <c r="G676" t="s">
        <v>838</v>
      </c>
      <c r="I676" t="e">
        <f>+_xlfn.XLOOKUP(B676,ajus!$B$2:$B$420,ajus!$C$2:$C$420)</f>
        <v>#N/A</v>
      </c>
    </row>
    <row r="677" spans="2:9" hidden="1" x14ac:dyDescent="0.25">
      <c r="B677">
        <v>2189</v>
      </c>
      <c r="C677" t="s">
        <v>1185</v>
      </c>
      <c r="D677" t="s">
        <v>828</v>
      </c>
      <c r="E677" s="30">
        <v>39</v>
      </c>
      <c r="F677" t="s">
        <v>837</v>
      </c>
      <c r="G677" t="s">
        <v>838</v>
      </c>
      <c r="I677" t="e">
        <f>+_xlfn.XLOOKUP(B677,ajus!$B$2:$B$420,ajus!$C$2:$C$420)</f>
        <v>#N/A</v>
      </c>
    </row>
    <row r="678" spans="2:9" hidden="1" x14ac:dyDescent="0.25">
      <c r="B678">
        <v>2190</v>
      </c>
      <c r="C678" t="s">
        <v>1186</v>
      </c>
      <c r="D678" t="s">
        <v>828</v>
      </c>
      <c r="E678" s="30">
        <v>39</v>
      </c>
      <c r="F678" t="s">
        <v>837</v>
      </c>
      <c r="G678" t="s">
        <v>838</v>
      </c>
      <c r="I678" t="e">
        <f>+_xlfn.XLOOKUP(B678,ajus!$B$2:$B$420,ajus!$C$2:$C$420)</f>
        <v>#N/A</v>
      </c>
    </row>
    <row r="679" spans="2:9" hidden="1" x14ac:dyDescent="0.25">
      <c r="B679">
        <v>2191</v>
      </c>
      <c r="C679" t="s">
        <v>1187</v>
      </c>
      <c r="D679" t="s">
        <v>834</v>
      </c>
      <c r="E679" s="30">
        <v>40</v>
      </c>
      <c r="F679" t="s">
        <v>839</v>
      </c>
      <c r="G679" t="s">
        <v>852</v>
      </c>
      <c r="I679" t="e">
        <f>+_xlfn.XLOOKUP(B679,ajus!$B$2:$B$420,ajus!$C$2:$C$420)</f>
        <v>#N/A</v>
      </c>
    </row>
    <row r="680" spans="2:9" hidden="1" x14ac:dyDescent="0.25">
      <c r="B680">
        <v>2196</v>
      </c>
      <c r="C680" t="s">
        <v>1188</v>
      </c>
      <c r="D680" t="s">
        <v>828</v>
      </c>
      <c r="E680" s="30">
        <v>41</v>
      </c>
      <c r="F680" t="s">
        <v>837</v>
      </c>
      <c r="I680" t="e">
        <f>+_xlfn.XLOOKUP(B680,ajus!$B$2:$B$420,ajus!$C$2:$C$420)</f>
        <v>#N/A</v>
      </c>
    </row>
    <row r="681" spans="2:9" hidden="1" x14ac:dyDescent="0.25">
      <c r="B681">
        <v>2197</v>
      </c>
      <c r="C681" t="s">
        <v>1189</v>
      </c>
      <c r="D681" t="s">
        <v>828</v>
      </c>
      <c r="E681" s="30">
        <v>41</v>
      </c>
      <c r="F681" t="s">
        <v>837</v>
      </c>
      <c r="G681" t="s">
        <v>838</v>
      </c>
      <c r="I681" t="e">
        <f>+_xlfn.XLOOKUP(B681,ajus!$B$2:$B$420,ajus!$C$2:$C$420)</f>
        <v>#N/A</v>
      </c>
    </row>
    <row r="682" spans="2:9" hidden="1" x14ac:dyDescent="0.25">
      <c r="B682">
        <v>2198</v>
      </c>
      <c r="C682" t="s">
        <v>1190</v>
      </c>
      <c r="D682" t="s">
        <v>828</v>
      </c>
      <c r="E682" s="30">
        <v>41</v>
      </c>
      <c r="F682" t="s">
        <v>837</v>
      </c>
      <c r="G682" t="s">
        <v>838</v>
      </c>
      <c r="I682" t="e">
        <f>+_xlfn.XLOOKUP(B682,ajus!$B$2:$B$420,ajus!$C$2:$C$420)</f>
        <v>#N/A</v>
      </c>
    </row>
    <row r="683" spans="2:9" hidden="1" x14ac:dyDescent="0.25">
      <c r="B683">
        <v>2199</v>
      </c>
      <c r="C683" t="s">
        <v>1191</v>
      </c>
      <c r="D683" t="s">
        <v>828</v>
      </c>
      <c r="E683" s="30">
        <v>41</v>
      </c>
      <c r="F683" t="s">
        <v>837</v>
      </c>
      <c r="G683" t="s">
        <v>838</v>
      </c>
      <c r="I683" t="e">
        <f>+_xlfn.XLOOKUP(B683,ajus!$B$2:$B$420,ajus!$C$2:$C$420)</f>
        <v>#N/A</v>
      </c>
    </row>
    <row r="684" spans="2:9" hidden="1" x14ac:dyDescent="0.25">
      <c r="B684">
        <v>2200</v>
      </c>
      <c r="C684" t="s">
        <v>1192</v>
      </c>
      <c r="D684" t="s">
        <v>828</v>
      </c>
      <c r="E684" s="30">
        <v>41</v>
      </c>
      <c r="F684" t="s">
        <v>837</v>
      </c>
      <c r="G684" t="s">
        <v>838</v>
      </c>
      <c r="I684" t="e">
        <f>+_xlfn.XLOOKUP(B684,ajus!$B$2:$B$420,ajus!$C$2:$C$420)</f>
        <v>#N/A</v>
      </c>
    </row>
    <row r="685" spans="2:9" hidden="1" x14ac:dyDescent="0.25">
      <c r="B685">
        <v>2201</v>
      </c>
      <c r="C685" t="s">
        <v>1193</v>
      </c>
      <c r="D685" t="s">
        <v>828</v>
      </c>
      <c r="E685" s="30">
        <v>41</v>
      </c>
      <c r="F685" t="s">
        <v>837</v>
      </c>
      <c r="G685" t="s">
        <v>838</v>
      </c>
      <c r="I685" t="e">
        <f>+_xlfn.XLOOKUP(B685,ajus!$B$2:$B$420,ajus!$C$2:$C$420)</f>
        <v>#N/A</v>
      </c>
    </row>
    <row r="686" spans="2:9" hidden="1" x14ac:dyDescent="0.25">
      <c r="B686">
        <v>2202</v>
      </c>
      <c r="C686" t="s">
        <v>1194</v>
      </c>
      <c r="D686" t="s">
        <v>828</v>
      </c>
      <c r="E686" s="30">
        <v>41</v>
      </c>
      <c r="F686" t="s">
        <v>837</v>
      </c>
      <c r="G686" t="s">
        <v>838</v>
      </c>
      <c r="I686" t="e">
        <f>+_xlfn.XLOOKUP(B686,ajus!$B$2:$B$420,ajus!$C$2:$C$420)</f>
        <v>#N/A</v>
      </c>
    </row>
    <row r="687" spans="2:9" hidden="1" x14ac:dyDescent="0.25">
      <c r="B687">
        <v>2205</v>
      </c>
      <c r="C687" t="s">
        <v>1195</v>
      </c>
      <c r="D687" t="s">
        <v>828</v>
      </c>
      <c r="E687" s="30">
        <v>6</v>
      </c>
      <c r="F687" t="s">
        <v>844</v>
      </c>
      <c r="G687" t="s">
        <v>838</v>
      </c>
      <c r="I687" t="e">
        <f>+_xlfn.XLOOKUP(B687,ajus!$B$2:$B$420,ajus!$C$2:$C$420)</f>
        <v>#N/A</v>
      </c>
    </row>
    <row r="688" spans="2:9" hidden="1" x14ac:dyDescent="0.25">
      <c r="B688">
        <v>2206</v>
      </c>
      <c r="C688" t="s">
        <v>1196</v>
      </c>
      <c r="D688" t="s">
        <v>828</v>
      </c>
      <c r="E688" s="30">
        <v>6</v>
      </c>
      <c r="F688" t="s">
        <v>844</v>
      </c>
      <c r="G688" t="s">
        <v>838</v>
      </c>
      <c r="I688" t="e">
        <f>+_xlfn.XLOOKUP(B688,ajus!$B$2:$B$420,ajus!$C$2:$C$420)</f>
        <v>#N/A</v>
      </c>
    </row>
    <row r="689" spans="2:9" hidden="1" x14ac:dyDescent="0.25">
      <c r="B689">
        <v>2207</v>
      </c>
      <c r="C689" t="s">
        <v>1197</v>
      </c>
      <c r="D689" t="s">
        <v>828</v>
      </c>
      <c r="E689" s="30">
        <v>43</v>
      </c>
      <c r="F689" t="s">
        <v>829</v>
      </c>
      <c r="G689" t="s">
        <v>838</v>
      </c>
      <c r="I689" t="e">
        <f>+_xlfn.XLOOKUP(B689,ajus!$B$2:$B$420,ajus!$C$2:$C$420)</f>
        <v>#N/A</v>
      </c>
    </row>
    <row r="690" spans="2:9" hidden="1" x14ac:dyDescent="0.25">
      <c r="B690">
        <v>2208</v>
      </c>
      <c r="C690" t="s">
        <v>1198</v>
      </c>
      <c r="D690" t="s">
        <v>834</v>
      </c>
      <c r="E690" s="30">
        <v>1</v>
      </c>
      <c r="F690" t="s">
        <v>846</v>
      </c>
      <c r="G690" t="s">
        <v>838</v>
      </c>
      <c r="I690" t="e">
        <f>+_xlfn.XLOOKUP(B690,ajus!$B$2:$B$420,ajus!$C$2:$C$420)</f>
        <v>#N/A</v>
      </c>
    </row>
    <row r="691" spans="2:9" hidden="1" x14ac:dyDescent="0.25">
      <c r="B691">
        <v>2209</v>
      </c>
      <c r="C691" t="s">
        <v>1199</v>
      </c>
      <c r="D691" t="s">
        <v>828</v>
      </c>
      <c r="E691" s="30">
        <v>42</v>
      </c>
      <c r="F691" t="s">
        <v>839</v>
      </c>
      <c r="I691" t="e">
        <f>+_xlfn.XLOOKUP(B691,ajus!$B$2:$B$420,ajus!$C$2:$C$420)</f>
        <v>#N/A</v>
      </c>
    </row>
    <row r="692" spans="2:9" hidden="1" x14ac:dyDescent="0.25">
      <c r="B692">
        <v>2210</v>
      </c>
      <c r="C692" t="s">
        <v>1200</v>
      </c>
      <c r="D692" t="s">
        <v>834</v>
      </c>
      <c r="E692" s="30">
        <v>42</v>
      </c>
      <c r="F692" t="s">
        <v>839</v>
      </c>
      <c r="G692" t="s">
        <v>852</v>
      </c>
      <c r="I692" t="e">
        <f>+_xlfn.XLOOKUP(B692,ajus!$B$2:$B$420,ajus!$C$2:$C$420)</f>
        <v>#N/A</v>
      </c>
    </row>
    <row r="693" spans="2:9" hidden="1" x14ac:dyDescent="0.25">
      <c r="B693">
        <v>2211</v>
      </c>
      <c r="C693" t="s">
        <v>1201</v>
      </c>
      <c r="D693" t="s">
        <v>828</v>
      </c>
      <c r="E693" s="30">
        <v>42</v>
      </c>
      <c r="F693" t="s">
        <v>839</v>
      </c>
      <c r="G693" t="s">
        <v>852</v>
      </c>
      <c r="I693" t="e">
        <f>+_xlfn.XLOOKUP(B693,ajus!$B$2:$B$420,ajus!$C$2:$C$420)</f>
        <v>#N/A</v>
      </c>
    </row>
    <row r="694" spans="2:9" hidden="1" x14ac:dyDescent="0.25">
      <c r="B694" s="20">
        <v>2212</v>
      </c>
      <c r="C694" t="s">
        <v>1202</v>
      </c>
      <c r="D694" t="s">
        <v>828</v>
      </c>
      <c r="E694" s="30">
        <v>0</v>
      </c>
      <c r="F694" s="20" t="s">
        <v>897</v>
      </c>
      <c r="I694" t="e">
        <f>+_xlfn.XLOOKUP(B694,ajus!$B$2:$B$420,ajus!$C$2:$C$420)</f>
        <v>#N/A</v>
      </c>
    </row>
    <row r="695" spans="2:9" hidden="1" x14ac:dyDescent="0.25">
      <c r="B695">
        <v>2213</v>
      </c>
      <c r="C695" t="s">
        <v>1203</v>
      </c>
      <c r="D695" t="s">
        <v>828</v>
      </c>
      <c r="E695" s="30">
        <v>37</v>
      </c>
      <c r="F695" t="s">
        <v>858</v>
      </c>
      <c r="G695" t="s">
        <v>832</v>
      </c>
      <c r="I695" t="e">
        <f>+_xlfn.XLOOKUP(B695,ajus!$B$2:$B$420,ajus!$C$2:$C$420)</f>
        <v>#N/A</v>
      </c>
    </row>
    <row r="696" spans="2:9" hidden="1" x14ac:dyDescent="0.25">
      <c r="B696">
        <v>2214</v>
      </c>
      <c r="C696" t="s">
        <v>1204</v>
      </c>
      <c r="D696" t="s">
        <v>828</v>
      </c>
      <c r="E696" s="30">
        <v>42</v>
      </c>
      <c r="F696" t="s">
        <v>858</v>
      </c>
      <c r="G696" t="s">
        <v>838</v>
      </c>
      <c r="I696" t="e">
        <f>+_xlfn.XLOOKUP(B696,ajus!$B$2:$B$420,ajus!$C$2:$C$420)</f>
        <v>#N/A</v>
      </c>
    </row>
    <row r="697" spans="2:9" hidden="1" x14ac:dyDescent="0.25">
      <c r="B697">
        <v>2215</v>
      </c>
      <c r="C697" t="s">
        <v>1205</v>
      </c>
      <c r="D697" t="s">
        <v>828</v>
      </c>
      <c r="E697" s="30">
        <v>42</v>
      </c>
      <c r="F697" t="s">
        <v>858</v>
      </c>
      <c r="G697" t="s">
        <v>838</v>
      </c>
      <c r="I697" t="e">
        <f>+_xlfn.XLOOKUP(B697,ajus!$B$2:$B$420,ajus!$C$2:$C$420)</f>
        <v>#N/A</v>
      </c>
    </row>
    <row r="698" spans="2:9" hidden="1" x14ac:dyDescent="0.25">
      <c r="B698">
        <v>2216</v>
      </c>
      <c r="C698" t="s">
        <v>1206</v>
      </c>
      <c r="D698" t="s">
        <v>828</v>
      </c>
      <c r="E698" s="30">
        <v>42</v>
      </c>
      <c r="F698" t="s">
        <v>858</v>
      </c>
      <c r="G698" t="s">
        <v>838</v>
      </c>
      <c r="I698" t="e">
        <f>+_xlfn.XLOOKUP(B698,ajus!$B$2:$B$420,ajus!$C$2:$C$420)</f>
        <v>#N/A</v>
      </c>
    </row>
    <row r="699" spans="2:9" hidden="1" x14ac:dyDescent="0.25">
      <c r="B699">
        <v>2217</v>
      </c>
      <c r="C699" t="s">
        <v>1207</v>
      </c>
      <c r="D699" t="s">
        <v>828</v>
      </c>
      <c r="E699" s="30">
        <v>42</v>
      </c>
      <c r="F699" t="s">
        <v>858</v>
      </c>
      <c r="G699" t="s">
        <v>838</v>
      </c>
      <c r="I699" t="e">
        <f>+_xlfn.XLOOKUP(B699,ajus!$B$2:$B$420,ajus!$C$2:$C$420)</f>
        <v>#N/A</v>
      </c>
    </row>
    <row r="700" spans="2:9" hidden="1" x14ac:dyDescent="0.25">
      <c r="B700">
        <v>2218</v>
      </c>
      <c r="C700" t="s">
        <v>1208</v>
      </c>
      <c r="D700" t="s">
        <v>828</v>
      </c>
      <c r="E700" s="30">
        <v>42</v>
      </c>
      <c r="F700" t="s">
        <v>858</v>
      </c>
      <c r="G700" t="s">
        <v>838</v>
      </c>
      <c r="I700" t="e">
        <f>+_xlfn.XLOOKUP(B700,ajus!$B$2:$B$420,ajus!$C$2:$C$420)</f>
        <v>#N/A</v>
      </c>
    </row>
    <row r="701" spans="2:9" hidden="1" x14ac:dyDescent="0.25">
      <c r="B701">
        <v>2219</v>
      </c>
      <c r="C701" t="s">
        <v>1209</v>
      </c>
      <c r="D701" t="s">
        <v>834</v>
      </c>
      <c r="E701" s="30">
        <v>42</v>
      </c>
      <c r="F701" t="s">
        <v>858</v>
      </c>
      <c r="G701" t="s">
        <v>838</v>
      </c>
      <c r="I701" t="e">
        <f>+_xlfn.XLOOKUP(B701,ajus!$B$2:$B$420,ajus!$C$2:$C$420)</f>
        <v>#N/A</v>
      </c>
    </row>
    <row r="702" spans="2:9" hidden="1" x14ac:dyDescent="0.25">
      <c r="B702">
        <v>2220</v>
      </c>
      <c r="C702" t="s">
        <v>1210</v>
      </c>
      <c r="D702" t="s">
        <v>834</v>
      </c>
      <c r="E702" s="30">
        <v>42</v>
      </c>
      <c r="F702" t="s">
        <v>858</v>
      </c>
      <c r="I702" t="e">
        <f>+_xlfn.XLOOKUP(B702,ajus!$B$2:$B$420,ajus!$C$2:$C$420)</f>
        <v>#N/A</v>
      </c>
    </row>
    <row r="703" spans="2:9" hidden="1" x14ac:dyDescent="0.25">
      <c r="B703">
        <v>2221</v>
      </c>
      <c r="C703" t="s">
        <v>1211</v>
      </c>
      <c r="D703" t="s">
        <v>834</v>
      </c>
      <c r="E703" s="30">
        <v>42</v>
      </c>
      <c r="F703" t="s">
        <v>858</v>
      </c>
      <c r="G703" t="s">
        <v>838</v>
      </c>
      <c r="I703" t="e">
        <f>+_xlfn.XLOOKUP(B703,ajus!$B$2:$B$420,ajus!$C$2:$C$420)</f>
        <v>#N/A</v>
      </c>
    </row>
    <row r="704" spans="2:9" hidden="1" x14ac:dyDescent="0.25">
      <c r="B704">
        <v>2222</v>
      </c>
      <c r="C704" t="s">
        <v>1212</v>
      </c>
      <c r="D704" t="s">
        <v>834</v>
      </c>
      <c r="E704" s="30">
        <v>1</v>
      </c>
      <c r="F704" t="s">
        <v>846</v>
      </c>
      <c r="G704" t="s">
        <v>838</v>
      </c>
      <c r="I704" t="e">
        <f>+_xlfn.XLOOKUP(B704,ajus!$B$2:$B$420,ajus!$C$2:$C$420)</f>
        <v>#N/A</v>
      </c>
    </row>
    <row r="705" spans="2:9" hidden="1" x14ac:dyDescent="0.25">
      <c r="B705">
        <v>2223</v>
      </c>
      <c r="C705" t="s">
        <v>1213</v>
      </c>
      <c r="D705" t="s">
        <v>828</v>
      </c>
      <c r="E705" s="30">
        <v>7</v>
      </c>
      <c r="F705" t="s">
        <v>839</v>
      </c>
      <c r="I705" t="e">
        <f>+_xlfn.XLOOKUP(B705,ajus!$B$2:$B$420,ajus!$C$2:$C$420)</f>
        <v>#N/A</v>
      </c>
    </row>
    <row r="706" spans="2:9" hidden="1" x14ac:dyDescent="0.25">
      <c r="B706">
        <v>2224</v>
      </c>
      <c r="C706" t="s">
        <v>1214</v>
      </c>
      <c r="D706" t="s">
        <v>828</v>
      </c>
      <c r="E706" s="30">
        <v>42</v>
      </c>
      <c r="F706" t="s">
        <v>839</v>
      </c>
      <c r="I706" t="e">
        <f>+_xlfn.XLOOKUP(B706,ajus!$B$2:$B$420,ajus!$C$2:$C$420)</f>
        <v>#N/A</v>
      </c>
    </row>
    <row r="707" spans="2:9" hidden="1" x14ac:dyDescent="0.25">
      <c r="B707">
        <v>2225</v>
      </c>
      <c r="C707" t="s">
        <v>1215</v>
      </c>
      <c r="D707" t="s">
        <v>828</v>
      </c>
      <c r="E707" s="30">
        <v>42</v>
      </c>
      <c r="F707" t="s">
        <v>839</v>
      </c>
      <c r="G707" t="s">
        <v>838</v>
      </c>
      <c r="I707" t="e">
        <f>+_xlfn.XLOOKUP(B707,ajus!$B$2:$B$420,ajus!$C$2:$C$420)</f>
        <v>#N/A</v>
      </c>
    </row>
    <row r="708" spans="2:9" hidden="1" x14ac:dyDescent="0.25">
      <c r="B708">
        <v>2226</v>
      </c>
      <c r="C708" t="s">
        <v>1216</v>
      </c>
      <c r="D708" t="s">
        <v>828</v>
      </c>
      <c r="E708" s="30">
        <v>42</v>
      </c>
      <c r="F708" t="s">
        <v>839</v>
      </c>
      <c r="I708" t="e">
        <f>+_xlfn.XLOOKUP(B708,ajus!$B$2:$B$420,ajus!$C$2:$C$420)</f>
        <v>#N/A</v>
      </c>
    </row>
    <row r="709" spans="2:9" hidden="1" x14ac:dyDescent="0.25">
      <c r="B709">
        <v>2227</v>
      </c>
      <c r="C709" t="s">
        <v>1217</v>
      </c>
      <c r="D709" t="s">
        <v>828</v>
      </c>
      <c r="E709" s="30">
        <v>37</v>
      </c>
      <c r="F709" t="s">
        <v>847</v>
      </c>
      <c r="G709" t="s">
        <v>832</v>
      </c>
      <c r="I709" t="e">
        <f>+_xlfn.XLOOKUP(B709,ajus!$B$2:$B$420,ajus!$C$2:$C$420)</f>
        <v>#N/A</v>
      </c>
    </row>
    <row r="710" spans="2:9" hidden="1" x14ac:dyDescent="0.25">
      <c r="B710">
        <v>2228</v>
      </c>
      <c r="C710" t="s">
        <v>1218</v>
      </c>
      <c r="D710" t="s">
        <v>828</v>
      </c>
      <c r="E710" s="30">
        <v>10</v>
      </c>
      <c r="F710" t="s">
        <v>1000</v>
      </c>
      <c r="G710" t="s">
        <v>838</v>
      </c>
      <c r="I710" t="e">
        <f>+_xlfn.XLOOKUP(B710,ajus!$B$2:$B$420,ajus!$C$2:$C$420)</f>
        <v>#N/A</v>
      </c>
    </row>
    <row r="711" spans="2:9" hidden="1" x14ac:dyDescent="0.25">
      <c r="B711">
        <v>2229</v>
      </c>
      <c r="C711" t="s">
        <v>1219</v>
      </c>
      <c r="D711" t="s">
        <v>828</v>
      </c>
      <c r="E711" s="30">
        <v>10</v>
      </c>
      <c r="F711" t="s">
        <v>1000</v>
      </c>
      <c r="G711" t="s">
        <v>838</v>
      </c>
      <c r="I711" t="e">
        <f>+_xlfn.XLOOKUP(B711,ajus!$B$2:$B$420,ajus!$C$2:$C$420)</f>
        <v>#N/A</v>
      </c>
    </row>
    <row r="712" spans="2:9" hidden="1" x14ac:dyDescent="0.25">
      <c r="B712">
        <v>2230</v>
      </c>
      <c r="C712" t="s">
        <v>1220</v>
      </c>
      <c r="D712" t="s">
        <v>828</v>
      </c>
      <c r="E712" s="30">
        <v>0</v>
      </c>
      <c r="F712" t="s">
        <v>1000</v>
      </c>
      <c r="G712" t="s">
        <v>852</v>
      </c>
      <c r="I712" t="e">
        <f>+_xlfn.XLOOKUP(B712,ajus!$B$2:$B$420,ajus!$C$2:$C$420)</f>
        <v>#N/A</v>
      </c>
    </row>
    <row r="713" spans="2:9" hidden="1" x14ac:dyDescent="0.25">
      <c r="B713">
        <v>2231</v>
      </c>
      <c r="C713" t="s">
        <v>1221</v>
      </c>
      <c r="D713" t="s">
        <v>828</v>
      </c>
      <c r="E713" s="30">
        <v>0</v>
      </c>
      <c r="F713" t="s">
        <v>1000</v>
      </c>
      <c r="G713" t="s">
        <v>838</v>
      </c>
      <c r="I713" t="e">
        <f>+_xlfn.XLOOKUP(B713,ajus!$B$2:$B$420,ajus!$C$2:$C$420)</f>
        <v>#N/A</v>
      </c>
    </row>
    <row r="714" spans="2:9" hidden="1" x14ac:dyDescent="0.25">
      <c r="B714">
        <v>2232</v>
      </c>
      <c r="C714" t="s">
        <v>1222</v>
      </c>
      <c r="D714" t="s">
        <v>828</v>
      </c>
      <c r="E714" s="30">
        <v>0</v>
      </c>
      <c r="F714" t="s">
        <v>1000</v>
      </c>
      <c r="G714" t="s">
        <v>838</v>
      </c>
      <c r="I714" t="e">
        <f>+_xlfn.XLOOKUP(B714,ajus!$B$2:$B$420,ajus!$C$2:$C$420)</f>
        <v>#N/A</v>
      </c>
    </row>
    <row r="715" spans="2:9" hidden="1" x14ac:dyDescent="0.25">
      <c r="B715">
        <v>2233</v>
      </c>
      <c r="C715" t="s">
        <v>1223</v>
      </c>
      <c r="D715" t="s">
        <v>834</v>
      </c>
      <c r="E715" s="30">
        <v>0</v>
      </c>
      <c r="F715" t="s">
        <v>1224</v>
      </c>
      <c r="G715" t="s">
        <v>838</v>
      </c>
      <c r="I715" t="e">
        <f>+_xlfn.XLOOKUP(B715,ajus!$B$2:$B$420,ajus!$C$2:$C$420)</f>
        <v>#N/A</v>
      </c>
    </row>
    <row r="716" spans="2:9" hidden="1" x14ac:dyDescent="0.25">
      <c r="B716">
        <v>2234</v>
      </c>
      <c r="C716" t="s">
        <v>1225</v>
      </c>
      <c r="D716" t="s">
        <v>834</v>
      </c>
      <c r="E716" s="30">
        <v>42</v>
      </c>
      <c r="F716" t="s">
        <v>839</v>
      </c>
      <c r="G716" t="s">
        <v>838</v>
      </c>
      <c r="I716" t="e">
        <f>+_xlfn.XLOOKUP(B716,ajus!$B$2:$B$420,ajus!$C$2:$C$420)</f>
        <v>#N/A</v>
      </c>
    </row>
    <row r="717" spans="2:9" hidden="1" x14ac:dyDescent="0.25">
      <c r="B717" s="20">
        <v>2236</v>
      </c>
      <c r="C717" t="s">
        <v>1226</v>
      </c>
      <c r="D717" t="s">
        <v>828</v>
      </c>
      <c r="E717" s="30">
        <v>0</v>
      </c>
      <c r="F717" s="20" t="s">
        <v>897</v>
      </c>
      <c r="I717" t="e">
        <f>+_xlfn.XLOOKUP(B717,ajus!$B$2:$B$420,ajus!$C$2:$C$420)</f>
        <v>#N/A</v>
      </c>
    </row>
    <row r="718" spans="2:9" hidden="1" x14ac:dyDescent="0.25">
      <c r="B718">
        <v>2237</v>
      </c>
      <c r="C718" t="s">
        <v>794</v>
      </c>
      <c r="D718" t="s">
        <v>828</v>
      </c>
      <c r="E718" s="30">
        <v>0</v>
      </c>
      <c r="F718" t="s">
        <v>831</v>
      </c>
      <c r="G718" t="s">
        <v>830</v>
      </c>
      <c r="I718" t="e">
        <f>+_xlfn.XLOOKUP(B718,ajus!$B$2:$B$420,ajus!$C$2:$C$420)</f>
        <v>#N/A</v>
      </c>
    </row>
    <row r="719" spans="2:9" hidden="1" x14ac:dyDescent="0.25">
      <c r="B719">
        <v>2238</v>
      </c>
      <c r="C719" t="s">
        <v>1227</v>
      </c>
      <c r="D719" t="s">
        <v>834</v>
      </c>
      <c r="E719" s="30">
        <v>0</v>
      </c>
      <c r="F719" t="s">
        <v>1228</v>
      </c>
      <c r="G719" t="s">
        <v>838</v>
      </c>
      <c r="I719" t="e">
        <f>+_xlfn.XLOOKUP(B719,ajus!$B$2:$B$420,ajus!$C$2:$C$420)</f>
        <v>#N/A</v>
      </c>
    </row>
    <row r="720" spans="2:9" hidden="1" x14ac:dyDescent="0.25">
      <c r="B720">
        <v>2239</v>
      </c>
      <c r="C720" t="s">
        <v>1229</v>
      </c>
      <c r="D720" t="s">
        <v>834</v>
      </c>
      <c r="E720" s="30">
        <v>0</v>
      </c>
      <c r="F720" t="s">
        <v>1228</v>
      </c>
      <c r="G720" t="s">
        <v>838</v>
      </c>
      <c r="I720" t="e">
        <f>+_xlfn.XLOOKUP(B720,ajus!$B$2:$B$420,ajus!$C$2:$C$420)</f>
        <v>#N/A</v>
      </c>
    </row>
    <row r="721" spans="2:9" hidden="1" x14ac:dyDescent="0.25">
      <c r="B721">
        <v>2240</v>
      </c>
      <c r="C721" t="s">
        <v>1230</v>
      </c>
      <c r="D721" t="s">
        <v>834</v>
      </c>
      <c r="E721" s="30">
        <v>0</v>
      </c>
      <c r="F721" t="s">
        <v>1228</v>
      </c>
      <c r="G721" t="s">
        <v>838</v>
      </c>
      <c r="I721" t="e">
        <f>+_xlfn.XLOOKUP(B721,ajus!$B$2:$B$420,ajus!$C$2:$C$420)</f>
        <v>#N/A</v>
      </c>
    </row>
    <row r="722" spans="2:9" hidden="1" x14ac:dyDescent="0.25">
      <c r="B722">
        <v>2241</v>
      </c>
      <c r="C722" t="s">
        <v>1231</v>
      </c>
      <c r="D722" t="s">
        <v>828</v>
      </c>
      <c r="E722" s="30">
        <v>0</v>
      </c>
      <c r="F722" t="s">
        <v>846</v>
      </c>
      <c r="G722" t="s">
        <v>830</v>
      </c>
      <c r="I722" t="e">
        <f>+_xlfn.XLOOKUP(B722,ajus!$B$2:$B$420,ajus!$C$2:$C$420)</f>
        <v>#N/A</v>
      </c>
    </row>
    <row r="723" spans="2:9" hidden="1" x14ac:dyDescent="0.25">
      <c r="B723">
        <v>2242</v>
      </c>
      <c r="C723" t="s">
        <v>795</v>
      </c>
      <c r="D723" t="s">
        <v>828</v>
      </c>
      <c r="E723" s="30">
        <v>0</v>
      </c>
      <c r="F723" t="s">
        <v>839</v>
      </c>
      <c r="G723" t="s">
        <v>830</v>
      </c>
      <c r="I723" t="e">
        <f>+_xlfn.XLOOKUP(B723,ajus!$B$2:$B$420,ajus!$C$2:$C$420)</f>
        <v>#N/A</v>
      </c>
    </row>
    <row r="724" spans="2:9" hidden="1" x14ac:dyDescent="0.25">
      <c r="B724">
        <v>2243</v>
      </c>
      <c r="C724" t="s">
        <v>796</v>
      </c>
      <c r="D724" t="s">
        <v>828</v>
      </c>
      <c r="E724" s="30">
        <v>0</v>
      </c>
      <c r="F724" t="s">
        <v>839</v>
      </c>
      <c r="G724" t="s">
        <v>830</v>
      </c>
      <c r="I724" t="e">
        <f>+_xlfn.XLOOKUP(B724,ajus!$B$2:$B$420,ajus!$C$2:$C$420)</f>
        <v>#N/A</v>
      </c>
    </row>
    <row r="725" spans="2:9" hidden="1" x14ac:dyDescent="0.25">
      <c r="B725">
        <v>2244</v>
      </c>
      <c r="C725" t="s">
        <v>797</v>
      </c>
      <c r="D725" t="s">
        <v>828</v>
      </c>
      <c r="E725" s="30">
        <v>0</v>
      </c>
      <c r="F725" t="s">
        <v>849</v>
      </c>
      <c r="G725" t="s">
        <v>882</v>
      </c>
      <c r="I725" t="e">
        <f>+_xlfn.XLOOKUP(B725,ajus!$B$2:$B$420,ajus!$C$2:$C$420)</f>
        <v>#N/A</v>
      </c>
    </row>
    <row r="726" spans="2:9" hidden="1" x14ac:dyDescent="0.25">
      <c r="B726">
        <v>2245</v>
      </c>
      <c r="C726" t="s">
        <v>1232</v>
      </c>
      <c r="D726" t="s">
        <v>828</v>
      </c>
      <c r="E726" s="30">
        <v>0</v>
      </c>
      <c r="F726" t="s">
        <v>831</v>
      </c>
      <c r="G726" t="s">
        <v>830</v>
      </c>
      <c r="I726" t="e">
        <f>+_xlfn.XLOOKUP(B726,ajus!$B$2:$B$420,ajus!$C$2:$C$420)</f>
        <v>#N/A</v>
      </c>
    </row>
    <row r="727" spans="2:9" hidden="1" x14ac:dyDescent="0.25">
      <c r="B727">
        <v>2246</v>
      </c>
      <c r="C727" t="s">
        <v>798</v>
      </c>
      <c r="D727" t="s">
        <v>828</v>
      </c>
      <c r="E727" s="30">
        <v>0</v>
      </c>
      <c r="F727" t="s">
        <v>829</v>
      </c>
      <c r="G727" t="s">
        <v>830</v>
      </c>
      <c r="I727" t="e">
        <f>+_xlfn.XLOOKUP(B727,ajus!$B$2:$B$420,ajus!$C$2:$C$420)</f>
        <v>#N/A</v>
      </c>
    </row>
    <row r="728" spans="2:9" hidden="1" x14ac:dyDescent="0.25">
      <c r="B728">
        <v>2247</v>
      </c>
      <c r="C728" t="s">
        <v>799</v>
      </c>
      <c r="D728" t="s">
        <v>828</v>
      </c>
      <c r="E728" s="30">
        <v>0</v>
      </c>
      <c r="F728" t="s">
        <v>842</v>
      </c>
      <c r="I728" t="e">
        <f>+_xlfn.XLOOKUP(B728,ajus!$B$2:$B$420,ajus!$C$2:$C$420)</f>
        <v>#N/A</v>
      </c>
    </row>
    <row r="729" spans="2:9" hidden="1" x14ac:dyDescent="0.25">
      <c r="B729">
        <v>2248</v>
      </c>
      <c r="C729" t="s">
        <v>800</v>
      </c>
      <c r="D729" t="s">
        <v>834</v>
      </c>
      <c r="E729" s="30">
        <v>0</v>
      </c>
      <c r="F729" t="s">
        <v>837</v>
      </c>
      <c r="I729" t="e">
        <f>+_xlfn.XLOOKUP(B729,ajus!$B$2:$B$420,ajus!$C$2:$C$420)</f>
        <v>#N/A</v>
      </c>
    </row>
    <row r="730" spans="2:9" hidden="1" x14ac:dyDescent="0.25">
      <c r="B730">
        <v>2249</v>
      </c>
      <c r="C730" t="s">
        <v>801</v>
      </c>
      <c r="D730" t="s">
        <v>828</v>
      </c>
      <c r="E730" s="30">
        <v>0</v>
      </c>
      <c r="F730" t="s">
        <v>858</v>
      </c>
      <c r="G730" t="s">
        <v>832</v>
      </c>
      <c r="I730" t="e">
        <f>+_xlfn.XLOOKUP(B730,ajus!$B$2:$B$420,ajus!$C$2:$C$420)</f>
        <v>#N/A</v>
      </c>
    </row>
    <row r="731" spans="2:9" hidden="1" x14ac:dyDescent="0.25">
      <c r="B731">
        <v>2250</v>
      </c>
      <c r="C731" t="s">
        <v>802</v>
      </c>
      <c r="D731" t="s">
        <v>828</v>
      </c>
      <c r="E731" s="30">
        <v>0</v>
      </c>
      <c r="F731" t="s">
        <v>839</v>
      </c>
      <c r="G731" t="s">
        <v>830</v>
      </c>
      <c r="I731" t="e">
        <f>+_xlfn.XLOOKUP(B731,ajus!$B$2:$B$420,ajus!$C$2:$C$420)</f>
        <v>#N/A</v>
      </c>
    </row>
    <row r="732" spans="2:9" hidden="1" x14ac:dyDescent="0.25">
      <c r="B732">
        <v>2251</v>
      </c>
      <c r="C732" t="s">
        <v>803</v>
      </c>
      <c r="D732" t="s">
        <v>828</v>
      </c>
      <c r="E732" s="30">
        <v>0</v>
      </c>
      <c r="F732" t="s">
        <v>829</v>
      </c>
      <c r="G732" t="s">
        <v>830</v>
      </c>
      <c r="I732" t="e">
        <f>+_xlfn.XLOOKUP(B732,ajus!$B$2:$B$420,ajus!$C$2:$C$420)</f>
        <v>#N/A</v>
      </c>
    </row>
    <row r="733" spans="2:9" hidden="1" x14ac:dyDescent="0.25">
      <c r="B733">
        <v>2252</v>
      </c>
      <c r="C733" t="s">
        <v>804</v>
      </c>
      <c r="D733" t="s">
        <v>828</v>
      </c>
      <c r="E733" s="30">
        <v>0</v>
      </c>
      <c r="F733" t="s">
        <v>829</v>
      </c>
      <c r="G733" t="s">
        <v>830</v>
      </c>
      <c r="I733" t="e">
        <f>+_xlfn.XLOOKUP(B733,ajus!$B$2:$B$420,ajus!$C$2:$C$420)</f>
        <v>#N/A</v>
      </c>
    </row>
    <row r="734" spans="2:9" hidden="1" x14ac:dyDescent="0.25">
      <c r="B734">
        <v>2253</v>
      </c>
      <c r="C734" t="s">
        <v>805</v>
      </c>
      <c r="D734" t="s">
        <v>828</v>
      </c>
      <c r="E734" s="30">
        <v>0</v>
      </c>
      <c r="F734" t="s">
        <v>839</v>
      </c>
      <c r="G734" t="s">
        <v>830</v>
      </c>
      <c r="I734" t="e">
        <f>+_xlfn.XLOOKUP(B734,ajus!$B$2:$B$420,ajus!$C$2:$C$420)</f>
        <v>#N/A</v>
      </c>
    </row>
    <row r="735" spans="2:9" hidden="1" x14ac:dyDescent="0.25">
      <c r="B735">
        <v>2254</v>
      </c>
      <c r="C735" t="s">
        <v>806</v>
      </c>
      <c r="D735" t="s">
        <v>828</v>
      </c>
      <c r="E735" s="30">
        <v>0</v>
      </c>
      <c r="F735" t="s">
        <v>837</v>
      </c>
      <c r="G735" t="s">
        <v>830</v>
      </c>
      <c r="I735" t="e">
        <f>+_xlfn.XLOOKUP(B735,ajus!$B$2:$B$420,ajus!$C$2:$C$420)</f>
        <v>#N/A</v>
      </c>
    </row>
    <row r="736" spans="2:9" hidden="1" x14ac:dyDescent="0.25">
      <c r="B736">
        <v>2255</v>
      </c>
      <c r="C736" t="s">
        <v>1233</v>
      </c>
      <c r="D736" t="s">
        <v>828</v>
      </c>
      <c r="E736" s="30">
        <v>0</v>
      </c>
      <c r="F736" t="s">
        <v>846</v>
      </c>
      <c r="G736" t="s">
        <v>830</v>
      </c>
      <c r="I736" t="e">
        <f>+_xlfn.XLOOKUP(B736,ajus!$B$2:$B$420,ajus!$C$2:$C$420)</f>
        <v>#N/A</v>
      </c>
    </row>
    <row r="737" spans="2:9" hidden="1" x14ac:dyDescent="0.25">
      <c r="B737">
        <v>2256</v>
      </c>
      <c r="C737" t="s">
        <v>807</v>
      </c>
      <c r="D737" t="s">
        <v>828</v>
      </c>
      <c r="E737" s="30">
        <v>0</v>
      </c>
      <c r="F737" t="s">
        <v>829</v>
      </c>
      <c r="G737" t="s">
        <v>830</v>
      </c>
      <c r="I737" t="e">
        <f>+_xlfn.XLOOKUP(B737,ajus!$B$2:$B$420,ajus!$C$2:$C$420)</f>
        <v>#N/A</v>
      </c>
    </row>
    <row r="738" spans="2:9" hidden="1" x14ac:dyDescent="0.25">
      <c r="B738">
        <v>2257</v>
      </c>
      <c r="C738" t="s">
        <v>808</v>
      </c>
      <c r="D738" t="s">
        <v>834</v>
      </c>
      <c r="E738" s="30">
        <v>0</v>
      </c>
      <c r="F738" t="s">
        <v>829</v>
      </c>
      <c r="G738" t="s">
        <v>830</v>
      </c>
      <c r="I738" t="e">
        <f>+_xlfn.XLOOKUP(B738,ajus!$B$2:$B$420,ajus!$C$2:$C$420)</f>
        <v>#N/A</v>
      </c>
    </row>
    <row r="739" spans="2:9" hidden="1" x14ac:dyDescent="0.25">
      <c r="B739">
        <v>2258</v>
      </c>
      <c r="C739" t="s">
        <v>809</v>
      </c>
      <c r="D739" t="s">
        <v>828</v>
      </c>
      <c r="E739" s="30">
        <v>0</v>
      </c>
      <c r="F739" t="s">
        <v>844</v>
      </c>
      <c r="G739" t="s">
        <v>830</v>
      </c>
      <c r="I739" t="e">
        <f>+_xlfn.XLOOKUP(B739,ajus!$B$2:$B$420,ajus!$C$2:$C$420)</f>
        <v>#N/A</v>
      </c>
    </row>
    <row r="740" spans="2:9" hidden="1" x14ac:dyDescent="0.25">
      <c r="B740">
        <v>2259</v>
      </c>
      <c r="C740" t="s">
        <v>1234</v>
      </c>
      <c r="D740" t="s">
        <v>834</v>
      </c>
      <c r="E740" s="30">
        <v>0</v>
      </c>
      <c r="F740" t="s">
        <v>837</v>
      </c>
      <c r="G740" t="s">
        <v>830</v>
      </c>
      <c r="I740" t="e">
        <f>+_xlfn.XLOOKUP(B740,ajus!$B$2:$B$420,ajus!$C$2:$C$420)</f>
        <v>#N/A</v>
      </c>
    </row>
    <row r="741" spans="2:9" hidden="1" x14ac:dyDescent="0.25">
      <c r="B741">
        <v>2260</v>
      </c>
      <c r="C741" t="s">
        <v>811</v>
      </c>
      <c r="D741" t="s">
        <v>828</v>
      </c>
      <c r="E741" s="30">
        <v>0</v>
      </c>
      <c r="F741" t="s">
        <v>829</v>
      </c>
      <c r="G741" t="s">
        <v>830</v>
      </c>
      <c r="I741" t="e">
        <f>+_xlfn.XLOOKUP(B741,ajus!$B$2:$B$420,ajus!$C$2:$C$420)</f>
        <v>#N/A</v>
      </c>
    </row>
    <row r="742" spans="2:9" hidden="1" x14ac:dyDescent="0.25">
      <c r="B742">
        <v>2261</v>
      </c>
      <c r="C742" t="s">
        <v>812</v>
      </c>
      <c r="D742" t="s">
        <v>834</v>
      </c>
      <c r="E742" s="30">
        <v>0</v>
      </c>
      <c r="F742" t="s">
        <v>829</v>
      </c>
      <c r="I742" t="e">
        <f>+_xlfn.XLOOKUP(B742,ajus!$B$2:$B$420,ajus!$C$2:$C$420)</f>
        <v>#N/A</v>
      </c>
    </row>
    <row r="743" spans="2:9" hidden="1" x14ac:dyDescent="0.25">
      <c r="B743">
        <v>2262</v>
      </c>
      <c r="C743" t="s">
        <v>813</v>
      </c>
      <c r="D743" t="s">
        <v>834</v>
      </c>
      <c r="E743" s="30">
        <v>0</v>
      </c>
      <c r="F743" t="s">
        <v>842</v>
      </c>
      <c r="G743" t="s">
        <v>830</v>
      </c>
      <c r="I743" t="e">
        <f>+_xlfn.XLOOKUP(B743,ajus!$B$2:$B$420,ajus!$C$2:$C$420)</f>
        <v>#N/A</v>
      </c>
    </row>
    <row r="744" spans="2:9" hidden="1" x14ac:dyDescent="0.25">
      <c r="B744">
        <v>2263</v>
      </c>
      <c r="C744" t="s">
        <v>814</v>
      </c>
      <c r="D744" t="s">
        <v>834</v>
      </c>
      <c r="E744" s="30">
        <v>0</v>
      </c>
      <c r="F744" t="s">
        <v>849</v>
      </c>
      <c r="G744" t="s">
        <v>830</v>
      </c>
      <c r="I744" t="e">
        <f>+_xlfn.XLOOKUP(B744,ajus!$B$2:$B$420,ajus!$C$2:$C$420)</f>
        <v>#N/A</v>
      </c>
    </row>
    <row r="745" spans="2:9" hidden="1" x14ac:dyDescent="0.25">
      <c r="B745">
        <v>2264</v>
      </c>
      <c r="C745" t="s">
        <v>1235</v>
      </c>
      <c r="D745" t="s">
        <v>828</v>
      </c>
      <c r="E745" s="30">
        <v>32</v>
      </c>
      <c r="F745" t="s">
        <v>831</v>
      </c>
      <c r="I745" t="e">
        <f>+_xlfn.XLOOKUP(B745,ajus!$B$2:$B$420,ajus!$C$2:$C$420)</f>
        <v>#N/A</v>
      </c>
    </row>
    <row r="746" spans="2:9" hidden="1" x14ac:dyDescent="0.25">
      <c r="B746">
        <v>2265</v>
      </c>
      <c r="C746" t="s">
        <v>1236</v>
      </c>
      <c r="D746" t="s">
        <v>828</v>
      </c>
      <c r="E746" s="30">
        <v>0</v>
      </c>
      <c r="F746" t="s">
        <v>847</v>
      </c>
      <c r="G746" t="s">
        <v>838</v>
      </c>
      <c r="I746" t="e">
        <f>+_xlfn.XLOOKUP(B746,ajus!$B$2:$B$420,ajus!$C$2:$C$420)</f>
        <v>#N/A</v>
      </c>
    </row>
    <row r="747" spans="2:9" hidden="1" x14ac:dyDescent="0.25">
      <c r="B747">
        <v>2266</v>
      </c>
      <c r="C747" t="s">
        <v>1237</v>
      </c>
      <c r="D747" t="s">
        <v>828</v>
      </c>
      <c r="E747" s="30">
        <v>0</v>
      </c>
      <c r="F747" t="s">
        <v>1005</v>
      </c>
      <c r="G747" t="s">
        <v>852</v>
      </c>
      <c r="I747" t="e">
        <f>+_xlfn.XLOOKUP(B747,ajus!$B$2:$B$420,ajus!$C$2:$C$420)</f>
        <v>#N/A</v>
      </c>
    </row>
    <row r="748" spans="2:9" hidden="1" x14ac:dyDescent="0.25">
      <c r="B748">
        <v>2268</v>
      </c>
      <c r="C748" t="s">
        <v>1238</v>
      </c>
      <c r="D748" t="s">
        <v>828</v>
      </c>
      <c r="E748" s="30">
        <v>0</v>
      </c>
      <c r="F748" t="s">
        <v>1005</v>
      </c>
      <c r="G748" t="s">
        <v>838</v>
      </c>
      <c r="I748" t="e">
        <f>+_xlfn.XLOOKUP(B748,ajus!$B$2:$B$420,ajus!$C$2:$C$420)</f>
        <v>#N/A</v>
      </c>
    </row>
    <row r="749" spans="2:9" hidden="1" x14ac:dyDescent="0.25">
      <c r="B749">
        <v>2269</v>
      </c>
      <c r="C749" t="s">
        <v>1239</v>
      </c>
      <c r="D749" t="s">
        <v>828</v>
      </c>
      <c r="E749" s="30">
        <v>0</v>
      </c>
      <c r="F749" t="s">
        <v>1005</v>
      </c>
      <c r="G749" t="s">
        <v>838</v>
      </c>
      <c r="I749" t="e">
        <f>+_xlfn.XLOOKUP(B749,ajus!$B$2:$B$420,ajus!$C$2:$C$420)</f>
        <v>#N/A</v>
      </c>
    </row>
    <row r="750" spans="2:9" hidden="1" x14ac:dyDescent="0.25">
      <c r="B750">
        <v>2274</v>
      </c>
      <c r="C750" t="s">
        <v>1240</v>
      </c>
      <c r="D750" t="s">
        <v>834</v>
      </c>
      <c r="E750" s="30">
        <v>0</v>
      </c>
      <c r="F750" t="s">
        <v>1005</v>
      </c>
      <c r="G750" t="s">
        <v>852</v>
      </c>
      <c r="I750" t="e">
        <f>+_xlfn.XLOOKUP(B750,ajus!$B$2:$B$420,ajus!$C$2:$C$420)</f>
        <v>#N/A</v>
      </c>
    </row>
    <row r="751" spans="2:9" hidden="1" x14ac:dyDescent="0.25">
      <c r="B751">
        <v>2276</v>
      </c>
      <c r="C751" t="s">
        <v>1241</v>
      </c>
      <c r="D751" t="s">
        <v>828</v>
      </c>
      <c r="E751" s="30">
        <v>0</v>
      </c>
      <c r="F751" t="s">
        <v>1005</v>
      </c>
      <c r="G751" t="s">
        <v>852</v>
      </c>
      <c r="I751" t="e">
        <f>+_xlfn.XLOOKUP(B751,ajus!$B$2:$B$420,ajus!$C$2:$C$420)</f>
        <v>#N/A</v>
      </c>
    </row>
    <row r="752" spans="2:9" hidden="1" x14ac:dyDescent="0.25">
      <c r="B752">
        <v>2277</v>
      </c>
      <c r="C752" t="s">
        <v>1242</v>
      </c>
      <c r="D752" t="s">
        <v>828</v>
      </c>
      <c r="E752" s="30">
        <v>0</v>
      </c>
      <c r="F752" t="s">
        <v>1005</v>
      </c>
      <c r="G752" t="s">
        <v>852</v>
      </c>
      <c r="I752" t="e">
        <f>+_xlfn.XLOOKUP(B752,ajus!$B$2:$B$420,ajus!$C$2:$C$420)</f>
        <v>#N/A</v>
      </c>
    </row>
    <row r="753" spans="2:9" hidden="1" x14ac:dyDescent="0.25">
      <c r="B753">
        <v>2278</v>
      </c>
      <c r="C753" t="s">
        <v>1243</v>
      </c>
      <c r="D753" t="s">
        <v>828</v>
      </c>
      <c r="E753" s="30">
        <v>0</v>
      </c>
      <c r="F753" t="s">
        <v>1005</v>
      </c>
      <c r="G753" t="s">
        <v>852</v>
      </c>
      <c r="I753" t="e">
        <f>+_xlfn.XLOOKUP(B753,ajus!$B$2:$B$420,ajus!$C$2:$C$420)</f>
        <v>#N/A</v>
      </c>
    </row>
    <row r="754" spans="2:9" hidden="1" x14ac:dyDescent="0.25">
      <c r="B754">
        <v>2279</v>
      </c>
      <c r="C754" t="s">
        <v>1244</v>
      </c>
      <c r="D754" t="s">
        <v>834</v>
      </c>
      <c r="E754" s="30">
        <v>0</v>
      </c>
      <c r="F754" t="s">
        <v>1005</v>
      </c>
      <c r="G754" t="s">
        <v>838</v>
      </c>
      <c r="I754" t="e">
        <f>+_xlfn.XLOOKUP(B754,ajus!$B$2:$B$420,ajus!$C$2:$C$420)</f>
        <v>#N/A</v>
      </c>
    </row>
    <row r="755" spans="2:9" hidden="1" x14ac:dyDescent="0.25">
      <c r="B755">
        <v>2280</v>
      </c>
      <c r="C755" t="s">
        <v>1245</v>
      </c>
      <c r="D755" t="s">
        <v>834</v>
      </c>
      <c r="E755" s="30">
        <v>0</v>
      </c>
      <c r="F755" t="s">
        <v>1005</v>
      </c>
      <c r="G755" t="s">
        <v>852</v>
      </c>
      <c r="I755" t="e">
        <f>+_xlfn.XLOOKUP(B755,ajus!$B$2:$B$420,ajus!$C$2:$C$420)</f>
        <v>#N/A</v>
      </c>
    </row>
    <row r="756" spans="2:9" hidden="1" x14ac:dyDescent="0.25">
      <c r="B756">
        <v>2281</v>
      </c>
      <c r="C756" t="s">
        <v>1246</v>
      </c>
      <c r="D756" t="s">
        <v>828</v>
      </c>
      <c r="E756" s="30">
        <v>0</v>
      </c>
      <c r="F756" t="s">
        <v>1005</v>
      </c>
      <c r="G756" t="s">
        <v>838</v>
      </c>
      <c r="I756" t="e">
        <f>+_xlfn.XLOOKUP(B756,ajus!$B$2:$B$420,ajus!$C$2:$C$420)</f>
        <v>#N/A</v>
      </c>
    </row>
    <row r="757" spans="2:9" hidden="1" x14ac:dyDescent="0.25">
      <c r="B757">
        <v>2282</v>
      </c>
      <c r="C757" t="s">
        <v>1247</v>
      </c>
      <c r="D757" t="s">
        <v>828</v>
      </c>
      <c r="E757" s="30">
        <v>0</v>
      </c>
      <c r="F757" t="s">
        <v>1005</v>
      </c>
      <c r="G757" t="s">
        <v>838</v>
      </c>
      <c r="I757" t="e">
        <f>+_xlfn.XLOOKUP(B757,ajus!$B$2:$B$420,ajus!$C$2:$C$420)</f>
        <v>#N/A</v>
      </c>
    </row>
    <row r="758" spans="2:9" hidden="1" x14ac:dyDescent="0.25">
      <c r="B758">
        <v>2283</v>
      </c>
      <c r="C758" t="s">
        <v>1248</v>
      </c>
      <c r="D758" t="s">
        <v>834</v>
      </c>
      <c r="E758" s="30">
        <v>0</v>
      </c>
      <c r="F758" t="s">
        <v>1005</v>
      </c>
      <c r="G758" t="s">
        <v>852</v>
      </c>
      <c r="I758" t="e">
        <f>+_xlfn.XLOOKUP(B758,ajus!$B$2:$B$420,ajus!$C$2:$C$420)</f>
        <v>#N/A</v>
      </c>
    </row>
    <row r="759" spans="2:9" hidden="1" x14ac:dyDescent="0.25">
      <c r="B759">
        <v>2285</v>
      </c>
      <c r="C759" t="s">
        <v>1249</v>
      </c>
      <c r="D759" t="s">
        <v>834</v>
      </c>
      <c r="E759" s="30">
        <v>0</v>
      </c>
      <c r="F759" t="s">
        <v>1005</v>
      </c>
      <c r="G759" t="s">
        <v>838</v>
      </c>
      <c r="I759" t="e">
        <f>+_xlfn.XLOOKUP(B759,ajus!$B$2:$B$420,ajus!$C$2:$C$420)</f>
        <v>#N/A</v>
      </c>
    </row>
    <row r="760" spans="2:9" hidden="1" x14ac:dyDescent="0.25">
      <c r="B760">
        <v>2286</v>
      </c>
      <c r="C760" t="s">
        <v>1250</v>
      </c>
      <c r="D760" t="s">
        <v>834</v>
      </c>
      <c r="E760" s="30">
        <v>0</v>
      </c>
      <c r="F760" t="s">
        <v>1005</v>
      </c>
      <c r="G760" t="s">
        <v>838</v>
      </c>
      <c r="I760" t="e">
        <f>+_xlfn.XLOOKUP(B760,ajus!$B$2:$B$420,ajus!$C$2:$C$420)</f>
        <v>#N/A</v>
      </c>
    </row>
    <row r="761" spans="2:9" hidden="1" x14ac:dyDescent="0.25">
      <c r="B761">
        <v>2287</v>
      </c>
      <c r="C761" t="s">
        <v>1251</v>
      </c>
      <c r="D761" t="s">
        <v>828</v>
      </c>
      <c r="E761" s="30">
        <v>10</v>
      </c>
      <c r="F761" t="s">
        <v>1005</v>
      </c>
      <c r="G761" t="s">
        <v>838</v>
      </c>
      <c r="I761" t="e">
        <f>+_xlfn.XLOOKUP(B761,ajus!$B$2:$B$420,ajus!$C$2:$C$420)</f>
        <v>#N/A</v>
      </c>
    </row>
    <row r="762" spans="2:9" hidden="1" x14ac:dyDescent="0.25">
      <c r="B762">
        <v>2288</v>
      </c>
      <c r="C762" t="s">
        <v>1252</v>
      </c>
      <c r="D762" t="s">
        <v>828</v>
      </c>
      <c r="E762" s="30">
        <v>0</v>
      </c>
      <c r="F762" t="s">
        <v>1005</v>
      </c>
      <c r="G762" t="s">
        <v>838</v>
      </c>
      <c r="I762" t="e">
        <f>+_xlfn.XLOOKUP(B762,ajus!$B$2:$B$420,ajus!$C$2:$C$420)</f>
        <v>#N/A</v>
      </c>
    </row>
    <row r="763" spans="2:9" hidden="1" x14ac:dyDescent="0.25">
      <c r="B763">
        <v>2289</v>
      </c>
      <c r="C763" t="s">
        <v>1253</v>
      </c>
      <c r="D763" t="s">
        <v>828</v>
      </c>
      <c r="E763" s="30">
        <v>0</v>
      </c>
      <c r="F763" t="s">
        <v>1005</v>
      </c>
      <c r="G763" t="s">
        <v>838</v>
      </c>
      <c r="I763" t="e">
        <f>+_xlfn.XLOOKUP(B763,ajus!$B$2:$B$420,ajus!$C$2:$C$420)</f>
        <v>#N/A</v>
      </c>
    </row>
    <row r="764" spans="2:9" hidden="1" x14ac:dyDescent="0.25">
      <c r="B764">
        <v>2290</v>
      </c>
      <c r="C764" t="s">
        <v>1254</v>
      </c>
      <c r="D764" t="s">
        <v>828</v>
      </c>
      <c r="E764" s="30">
        <v>10</v>
      </c>
      <c r="F764" t="s">
        <v>1005</v>
      </c>
      <c r="G764" t="s">
        <v>838</v>
      </c>
      <c r="I764" t="e">
        <f>+_xlfn.XLOOKUP(B764,ajus!$B$2:$B$420,ajus!$C$2:$C$420)</f>
        <v>#N/A</v>
      </c>
    </row>
    <row r="765" spans="2:9" hidden="1" x14ac:dyDescent="0.25">
      <c r="B765">
        <v>2291</v>
      </c>
      <c r="C765" t="s">
        <v>1255</v>
      </c>
      <c r="D765" t="s">
        <v>828</v>
      </c>
      <c r="E765" s="30">
        <v>10</v>
      </c>
      <c r="F765" t="s">
        <v>1005</v>
      </c>
      <c r="G765" t="s">
        <v>838</v>
      </c>
      <c r="I765" t="e">
        <f>+_xlfn.XLOOKUP(B765,ajus!$B$2:$B$420,ajus!$C$2:$C$420)</f>
        <v>#N/A</v>
      </c>
    </row>
    <row r="766" spans="2:9" hidden="1" x14ac:dyDescent="0.25">
      <c r="B766">
        <v>2292</v>
      </c>
      <c r="C766" t="s">
        <v>1256</v>
      </c>
      <c r="D766" t="s">
        <v>828</v>
      </c>
      <c r="E766" s="30">
        <v>0</v>
      </c>
      <c r="F766" t="s">
        <v>1005</v>
      </c>
      <c r="G766" t="s">
        <v>838</v>
      </c>
      <c r="I766" t="e">
        <f>+_xlfn.XLOOKUP(B766,ajus!$B$2:$B$420,ajus!$C$2:$C$420)</f>
        <v>#N/A</v>
      </c>
    </row>
    <row r="767" spans="2:9" hidden="1" x14ac:dyDescent="0.25">
      <c r="B767">
        <v>2293</v>
      </c>
      <c r="C767" t="s">
        <v>1257</v>
      </c>
      <c r="D767" t="s">
        <v>828</v>
      </c>
      <c r="E767" s="30">
        <v>0</v>
      </c>
      <c r="F767" t="s">
        <v>1005</v>
      </c>
      <c r="G767" t="s">
        <v>838</v>
      </c>
      <c r="I767" t="e">
        <f>+_xlfn.XLOOKUP(B767,ajus!$B$2:$B$420,ajus!$C$2:$C$420)</f>
        <v>#N/A</v>
      </c>
    </row>
    <row r="768" spans="2:9" hidden="1" x14ac:dyDescent="0.25">
      <c r="B768">
        <v>2294</v>
      </c>
      <c r="C768" t="s">
        <v>1258</v>
      </c>
      <c r="D768" t="s">
        <v>828</v>
      </c>
      <c r="E768" s="30">
        <v>0</v>
      </c>
      <c r="F768" t="s">
        <v>1005</v>
      </c>
      <c r="G768" t="s">
        <v>838</v>
      </c>
      <c r="I768" t="e">
        <f>+_xlfn.XLOOKUP(B768,ajus!$B$2:$B$420,ajus!$C$2:$C$420)</f>
        <v>#N/A</v>
      </c>
    </row>
    <row r="769" spans="2:9" hidden="1" x14ac:dyDescent="0.25">
      <c r="B769">
        <v>2295</v>
      </c>
      <c r="C769" t="s">
        <v>1259</v>
      </c>
      <c r="D769" t="s">
        <v>828</v>
      </c>
      <c r="E769" s="30">
        <v>0</v>
      </c>
      <c r="F769" t="s">
        <v>1005</v>
      </c>
      <c r="G769" t="s">
        <v>838</v>
      </c>
      <c r="I769" t="e">
        <f>+_xlfn.XLOOKUP(B769,ajus!$B$2:$B$420,ajus!$C$2:$C$420)</f>
        <v>#N/A</v>
      </c>
    </row>
    <row r="770" spans="2:9" hidden="1" x14ac:dyDescent="0.25">
      <c r="B770">
        <v>2296</v>
      </c>
      <c r="C770" t="s">
        <v>1260</v>
      </c>
      <c r="D770" t="s">
        <v>828</v>
      </c>
      <c r="E770" s="30">
        <v>0</v>
      </c>
      <c r="F770" t="s">
        <v>1005</v>
      </c>
      <c r="G770" t="s">
        <v>838</v>
      </c>
      <c r="I770" t="e">
        <f>+_xlfn.XLOOKUP(B770,ajus!$B$2:$B$420,ajus!$C$2:$C$420)</f>
        <v>#N/A</v>
      </c>
    </row>
    <row r="771" spans="2:9" hidden="1" x14ac:dyDescent="0.25">
      <c r="B771">
        <v>2297</v>
      </c>
      <c r="C771" t="s">
        <v>1261</v>
      </c>
      <c r="D771" t="s">
        <v>834</v>
      </c>
      <c r="E771" s="30">
        <v>0</v>
      </c>
      <c r="F771" t="s">
        <v>1005</v>
      </c>
      <c r="G771" t="s">
        <v>838</v>
      </c>
      <c r="I771" t="e">
        <f>+_xlfn.XLOOKUP(B771,ajus!$B$2:$B$420,ajus!$C$2:$C$420)</f>
        <v>#N/A</v>
      </c>
    </row>
    <row r="772" spans="2:9" hidden="1" x14ac:dyDescent="0.25">
      <c r="B772">
        <v>2298</v>
      </c>
      <c r="C772" t="s">
        <v>1262</v>
      </c>
      <c r="D772" t="s">
        <v>834</v>
      </c>
      <c r="E772" s="30">
        <v>0</v>
      </c>
      <c r="F772" t="s">
        <v>1005</v>
      </c>
      <c r="G772" t="s">
        <v>838</v>
      </c>
      <c r="I772" t="e">
        <f>+_xlfn.XLOOKUP(B772,ajus!$B$2:$B$420,ajus!$C$2:$C$420)</f>
        <v>#N/A</v>
      </c>
    </row>
    <row r="773" spans="2:9" hidden="1" x14ac:dyDescent="0.25">
      <c r="B773">
        <v>2299</v>
      </c>
      <c r="C773" t="s">
        <v>1263</v>
      </c>
      <c r="D773" t="s">
        <v>834</v>
      </c>
      <c r="E773" s="30">
        <v>0</v>
      </c>
      <c r="F773" t="s">
        <v>1005</v>
      </c>
      <c r="G773" t="s">
        <v>838</v>
      </c>
      <c r="I773" t="e">
        <f>+_xlfn.XLOOKUP(B773,ajus!$B$2:$B$420,ajus!$C$2:$C$420)</f>
        <v>#N/A</v>
      </c>
    </row>
    <row r="774" spans="2:9" hidden="1" x14ac:dyDescent="0.25">
      <c r="B774">
        <v>2300</v>
      </c>
      <c r="C774" t="s">
        <v>1264</v>
      </c>
      <c r="D774" t="s">
        <v>834</v>
      </c>
      <c r="E774" s="30">
        <v>0</v>
      </c>
      <c r="F774" t="s">
        <v>1005</v>
      </c>
      <c r="G774" t="s">
        <v>838</v>
      </c>
      <c r="I774" t="e">
        <f>+_xlfn.XLOOKUP(B774,ajus!$B$2:$B$420,ajus!$C$2:$C$420)</f>
        <v>#N/A</v>
      </c>
    </row>
    <row r="775" spans="2:9" hidden="1" x14ac:dyDescent="0.25">
      <c r="B775">
        <v>2301</v>
      </c>
      <c r="C775" t="s">
        <v>1265</v>
      </c>
      <c r="D775" t="s">
        <v>834</v>
      </c>
      <c r="E775" s="30">
        <v>0</v>
      </c>
      <c r="F775" t="s">
        <v>1005</v>
      </c>
      <c r="G775" t="s">
        <v>838</v>
      </c>
      <c r="I775" t="e">
        <f>+_xlfn.XLOOKUP(B775,ajus!$B$2:$B$420,ajus!$C$2:$C$420)</f>
        <v>#N/A</v>
      </c>
    </row>
    <row r="776" spans="2:9" hidden="1" x14ac:dyDescent="0.25">
      <c r="B776">
        <v>2302</v>
      </c>
      <c r="C776" t="s">
        <v>1266</v>
      </c>
      <c r="D776" t="s">
        <v>834</v>
      </c>
      <c r="E776" s="30">
        <v>0</v>
      </c>
      <c r="F776" t="s">
        <v>1005</v>
      </c>
      <c r="G776" t="s">
        <v>838</v>
      </c>
      <c r="I776" t="e">
        <f>+_xlfn.XLOOKUP(B776,ajus!$B$2:$B$420,ajus!$C$2:$C$420)</f>
        <v>#N/A</v>
      </c>
    </row>
    <row r="777" spans="2:9" hidden="1" x14ac:dyDescent="0.25">
      <c r="B777">
        <v>2303</v>
      </c>
      <c r="C777" t="s">
        <v>1267</v>
      </c>
      <c r="D777" t="s">
        <v>834</v>
      </c>
      <c r="E777" s="30">
        <v>0</v>
      </c>
      <c r="F777" t="s">
        <v>1005</v>
      </c>
      <c r="G777" t="s">
        <v>838</v>
      </c>
      <c r="I777" t="e">
        <f>+_xlfn.XLOOKUP(B777,ajus!$B$2:$B$420,ajus!$C$2:$C$420)</f>
        <v>#N/A</v>
      </c>
    </row>
    <row r="778" spans="2:9" hidden="1" x14ac:dyDescent="0.25">
      <c r="B778">
        <v>2304</v>
      </c>
      <c r="C778" t="s">
        <v>1268</v>
      </c>
      <c r="D778" t="s">
        <v>834</v>
      </c>
      <c r="E778" s="30">
        <v>0</v>
      </c>
      <c r="F778" t="s">
        <v>1005</v>
      </c>
      <c r="G778" t="s">
        <v>852</v>
      </c>
      <c r="I778" t="e">
        <f>+_xlfn.XLOOKUP(B778,ajus!$B$2:$B$420,ajus!$C$2:$C$420)</f>
        <v>#N/A</v>
      </c>
    </row>
    <row r="779" spans="2:9" hidden="1" x14ac:dyDescent="0.25">
      <c r="B779">
        <v>2305</v>
      </c>
      <c r="C779" t="s">
        <v>1269</v>
      </c>
      <c r="D779" t="s">
        <v>834</v>
      </c>
      <c r="E779" s="30">
        <v>0</v>
      </c>
      <c r="F779" t="s">
        <v>1005</v>
      </c>
      <c r="G779" t="s">
        <v>838</v>
      </c>
      <c r="I779" t="e">
        <f>+_xlfn.XLOOKUP(B779,ajus!$B$2:$B$420,ajus!$C$2:$C$420)</f>
        <v>#N/A</v>
      </c>
    </row>
    <row r="780" spans="2:9" hidden="1" x14ac:dyDescent="0.25">
      <c r="B780">
        <v>2306</v>
      </c>
      <c r="C780" t="s">
        <v>1270</v>
      </c>
      <c r="D780" t="s">
        <v>834</v>
      </c>
      <c r="E780" s="30">
        <v>0</v>
      </c>
      <c r="F780" t="s">
        <v>1005</v>
      </c>
      <c r="G780" t="s">
        <v>852</v>
      </c>
      <c r="I780" t="e">
        <f>+_xlfn.XLOOKUP(B780,ajus!$B$2:$B$420,ajus!$C$2:$C$420)</f>
        <v>#N/A</v>
      </c>
    </row>
    <row r="781" spans="2:9" hidden="1" x14ac:dyDescent="0.25">
      <c r="B781">
        <v>2307</v>
      </c>
      <c r="C781" t="s">
        <v>1271</v>
      </c>
      <c r="D781" t="s">
        <v>834</v>
      </c>
      <c r="E781" s="30">
        <v>0</v>
      </c>
      <c r="F781" t="s">
        <v>1005</v>
      </c>
      <c r="G781" t="s">
        <v>852</v>
      </c>
      <c r="I781" t="e">
        <f>+_xlfn.XLOOKUP(B781,ajus!$B$2:$B$420,ajus!$C$2:$C$420)</f>
        <v>#N/A</v>
      </c>
    </row>
    <row r="782" spans="2:9" hidden="1" x14ac:dyDescent="0.25">
      <c r="B782">
        <v>2308</v>
      </c>
      <c r="C782" t="s">
        <v>1272</v>
      </c>
      <c r="D782" t="s">
        <v>828</v>
      </c>
      <c r="E782" s="30">
        <v>1</v>
      </c>
      <c r="F782" t="s">
        <v>858</v>
      </c>
      <c r="I782" t="e">
        <f>+_xlfn.XLOOKUP(B782,ajus!$B$2:$B$420,ajus!$C$2:$C$420)</f>
        <v>#N/A</v>
      </c>
    </row>
    <row r="783" spans="2:9" hidden="1" x14ac:dyDescent="0.25">
      <c r="B783">
        <v>2309</v>
      </c>
      <c r="C783" t="s">
        <v>1273</v>
      </c>
      <c r="D783" t="s">
        <v>828</v>
      </c>
      <c r="E783" s="30">
        <v>43</v>
      </c>
      <c r="F783" t="s">
        <v>839</v>
      </c>
      <c r="I783" t="e">
        <f>+_xlfn.XLOOKUP(B783,ajus!$B$2:$B$420,ajus!$C$2:$C$420)</f>
        <v>#N/A</v>
      </c>
    </row>
    <row r="784" spans="2:9" hidden="1" x14ac:dyDescent="0.25">
      <c r="B784">
        <v>2310</v>
      </c>
      <c r="C784" t="s">
        <v>1274</v>
      </c>
      <c r="D784" t="s">
        <v>834</v>
      </c>
      <c r="E784" s="30">
        <v>43</v>
      </c>
      <c r="F784" t="s">
        <v>839</v>
      </c>
      <c r="I784" t="e">
        <f>+_xlfn.XLOOKUP(B784,ajus!$B$2:$B$420,ajus!$C$2:$C$420)</f>
        <v>#N/A</v>
      </c>
    </row>
    <row r="785" spans="2:9" hidden="1" x14ac:dyDescent="0.25">
      <c r="B785">
        <v>2316</v>
      </c>
      <c r="C785" t="s">
        <v>815</v>
      </c>
      <c r="D785" t="s">
        <v>834</v>
      </c>
      <c r="E785" s="30">
        <v>0</v>
      </c>
      <c r="F785" t="s">
        <v>839</v>
      </c>
      <c r="G785" t="s">
        <v>838</v>
      </c>
      <c r="I785" t="e">
        <f>+_xlfn.XLOOKUP(B785,ajus!$B$2:$B$420,ajus!$C$2:$C$420)</f>
        <v>#N/A</v>
      </c>
    </row>
  </sheetData>
  <autoFilter ref="A1:I785" xr:uid="{030BC81E-2D15-4312-802A-AAC4340F4BCC}">
    <filterColumn colId="2">
      <filters>
        <filter val="DEMOSTRACION GRANJA  - AUT [22045010; AO 10; MET; GPRS; FONDO ADAPTACION]"/>
        <filter val="GRANJA  ARMERO   [21255090; TOL; MET; AO10; GPRS, GOES: CB055244; NDC]"/>
        <filter val="GRANJA EL MIRA - AUT [51025090; AO 07;IDEAM]"/>
        <filter val="GRANJA EXPERIMENTAL EL NUS [23085080;AO 01;FONDO ADAPTACION]"/>
        <filter val="GRANJA GUAYATA - AUT   [3507500046;; MET; AO06; FONDO ADAPTACION]"/>
        <filter val="GRANJA PIEDECUESTA [2319500065; AO 08; MET; GPRS; FONDO ADAPTACION ]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ajus</vt:lpstr>
      <vt:lpstr>Hoja5</vt:lpstr>
      <vt:lpstr>polaris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Alexis Galindo Paez</dc:creator>
  <cp:lastModifiedBy>Jorge Andres Gonzalez Rojas</cp:lastModifiedBy>
  <dcterms:created xsi:type="dcterms:W3CDTF">2026-09-11T15:51:21Z</dcterms:created>
  <dcterms:modified xsi:type="dcterms:W3CDTF">2026-10-10T17:49:16Z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2026-09-11T15:52:14Z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52c01658-d663-4e88-a986-60965aaa7923</vt:lpwstr>
  </property>
  <property fmtid="{D5CDD505-2E9C-101B-9397-08002B2CF9AE}" pid="8" name="MSIP_Label_defa4170-0d19-0005-0004-bc88714345d2_ContentBits">
    <vt:lpwstr>0</vt:lpwstr>
  </property>
</Properties>
</file>